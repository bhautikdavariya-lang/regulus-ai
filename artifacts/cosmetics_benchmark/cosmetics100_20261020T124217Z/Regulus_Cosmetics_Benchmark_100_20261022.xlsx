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 Results" sheetId="1" state="visible" r:id="rId1"/>
    <sheet name="Summary" sheetId="2" state="visible" r:id="rId2"/>
    <sheet name="Failed and Partial Questions" sheetId="3" state="visible" r:id="rId3"/>
    <sheet name="Run Metadata" sheetId="4" state="visible" r:id="rId4"/>
  </sheets>
  <definedNames>
    <definedName name="_xlnm._FilterDatabase" localSheetId="0" hidden="1">'Question Results'!$A$1:$AI$101</definedName>
    <definedName name="_xlnm._FilterDatabase" localSheetId="2" hidden="1">'Failed and Partial Questions'!$A$1:$L$64</definedName>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00"/>
    <numFmt numFmtId="167" formatCode="#,##0.0"/>
  </numFmts>
  <fonts count="12">
    <font>
      <name val="Calibri"/>
      <family val="2"/>
      <color theme="1"/>
      <sz val="11"/>
      <scheme val="minor"/>
    </font>
    <font>
      <name val="Arial"/>
      <b val="1"/>
      <color rgb="00FFFFFF"/>
      <sz val="10"/>
    </font>
    <font>
      <name val="Arial"/>
      <sz val="10"/>
    </font>
    <font>
      <name val="Arial"/>
      <b val="1"/>
      <color rgb="001F3864"/>
      <sz val="14"/>
    </font>
    <font>
      <name val="Arial"/>
      <i val="1"/>
      <color rgb="00595959"/>
      <sz val="9"/>
    </font>
    <font>
      <name val="Arial"/>
      <b val="1"/>
      <color rgb="001F3864"/>
      <sz val="11"/>
    </font>
    <font>
      <name val="Arial"/>
      <b val="1"/>
      <color rgb="00006100"/>
      <sz val="10"/>
    </font>
    <font>
      <name val="Arial"/>
      <b val="1"/>
      <color rgb="00375623"/>
      <sz val="10"/>
    </font>
    <font>
      <name val="Arial"/>
      <b val="1"/>
      <color rgb="00833C0B"/>
      <sz val="10"/>
    </font>
    <font>
      <name val="Arial"/>
      <b val="1"/>
      <color rgb="009C0006"/>
      <sz val="10"/>
    </font>
    <font>
      <name val="Arial"/>
      <b val="1"/>
      <color rgb="00404040"/>
      <sz val="10"/>
    </font>
    <font>
      <name val="Arial"/>
      <b val="1"/>
      <sz val="10"/>
    </font>
  </fonts>
  <fills count="9">
    <fill>
      <patternFill/>
    </fill>
    <fill>
      <patternFill patternType="gray125"/>
    </fill>
    <fill>
      <patternFill patternType="solid">
        <fgColor rgb="001F3864"/>
      </patternFill>
    </fill>
    <fill>
      <patternFill patternType="solid">
        <fgColor rgb="00D9E1F2"/>
      </patternFill>
    </fill>
    <fill>
      <patternFill patternType="solid">
        <fgColor rgb="00C6EFCE"/>
      </patternFill>
    </fill>
    <fill>
      <patternFill patternType="solid">
        <fgColor rgb="00E2EFDA"/>
      </patternFill>
    </fill>
    <fill>
      <patternFill patternType="solid">
        <fgColor rgb="00FCE4D6"/>
      </patternFill>
    </fill>
    <fill>
      <patternFill patternType="solid">
        <fgColor rgb="00FFC7CE"/>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3" fontId="2" fillId="0" borderId="1" applyAlignment="1" pivotButton="0" quotePrefix="0" xfId="0">
      <alignment vertical="top" wrapText="1"/>
    </xf>
    <xf numFmtId="0" fontId="3" fillId="0" borderId="0" pivotButton="0" quotePrefix="0" xfId="0"/>
    <xf numFmtId="0" fontId="4" fillId="0" borderId="0" pivotButton="0" quotePrefix="0" xfId="0"/>
    <xf numFmtId="0" fontId="5" fillId="3" borderId="0" pivotButton="0" quotePrefix="0" xfId="0"/>
    <xf numFmtId="0" fontId="2" fillId="0" borderId="1" applyAlignment="1" pivotButton="0" quotePrefix="0" xfId="0">
      <alignment horizontal="right" vertical="top" wrapText="1"/>
    </xf>
    <xf numFmtId="0" fontId="4" fillId="0" borderId="1" applyAlignment="1" pivotButton="0" quotePrefix="0" xfId="0">
      <alignment vertical="top" wrapText="1"/>
    </xf>
    <xf numFmtId="1" fontId="2" fillId="0" borderId="1" applyAlignment="1" pivotButton="0" quotePrefix="0" xfId="0">
      <alignment horizontal="right" vertical="top" wrapText="1"/>
    </xf>
    <xf numFmtId="0" fontId="1" fillId="0" borderId="1" applyAlignment="1" pivotButton="0" quotePrefix="0" xfId="0">
      <alignment horizontal="center" vertical="center" wrapText="1"/>
    </xf>
    <xf numFmtId="0" fontId="6" fillId="4" borderId="1" pivotButton="0" quotePrefix="0" xfId="0"/>
    <xf numFmtId="1" fontId="2" fillId="0" borderId="1" pivotButton="0" quotePrefix="0" xfId="0"/>
    <xf numFmtId="165" fontId="2" fillId="0" borderId="1" pivotButton="0" quotePrefix="0" xfId="0"/>
    <xf numFmtId="0" fontId="7" fillId="5" borderId="1" pivotButton="0" quotePrefix="0" xfId="0"/>
    <xf numFmtId="0" fontId="8" fillId="6" borderId="1" pivotButton="0" quotePrefix="0" xfId="0"/>
    <xf numFmtId="0" fontId="9" fillId="7" borderId="1" pivotButton="0" quotePrefix="0" xfId="0"/>
    <xf numFmtId="0" fontId="10" fillId="8" borderId="1" pivotButton="0" quotePrefix="0" xfId="0"/>
    <xf numFmtId="0" fontId="2" fillId="0" borderId="1" pivotButton="0" quotePrefix="0" xfId="0"/>
    <xf numFmtId="0" fontId="11" fillId="0" borderId="1" pivotButton="0" quotePrefix="0" xfId="0"/>
    <xf numFmtId="0" fontId="4" fillId="0" borderId="1" pivotButton="0" quotePrefix="0" xfId="0"/>
    <xf numFmtId="0" fontId="11" fillId="0" borderId="1" applyAlignment="1" pivotButton="0" quotePrefix="0" xfId="0">
      <alignment vertical="top" wrapText="1"/>
    </xf>
    <xf numFmtId="165" fontId="11" fillId="0" borderId="1" applyAlignment="1" pivotButton="0" quotePrefix="0" xfId="0">
      <alignment horizontal="right" vertical="top" wrapText="1"/>
    </xf>
    <xf numFmtId="165" fontId="2" fillId="0" borderId="1" applyAlignment="1" pivotButton="0" quotePrefix="0" xfId="0">
      <alignment horizontal="right" vertical="top" wrapText="1"/>
    </xf>
    <xf numFmtId="166" fontId="2" fillId="0" borderId="1" applyAlignment="1" pivotButton="0" quotePrefix="0" xfId="0">
      <alignment horizontal="right" vertical="top" wrapText="1"/>
    </xf>
    <xf numFmtId="164" fontId="11" fillId="0" borderId="1" applyAlignment="1" pivotButton="0" quotePrefix="0" xfId="0">
      <alignment horizontal="right" vertical="top" wrapText="1"/>
    </xf>
    <xf numFmtId="164" fontId="2" fillId="0" borderId="1" applyAlignment="1" pivotButton="0" quotePrefix="0" xfId="0">
      <alignment horizontal="right" vertical="top" wrapText="1"/>
    </xf>
    <xf numFmtId="167" fontId="2" fillId="0" borderId="1" applyAlignment="1" pivotButton="0" quotePrefix="0" xfId="0">
      <alignment horizontal="right" vertical="top" wrapText="1"/>
    </xf>
    <xf numFmtId="3" fontId="2" fillId="0" borderId="1" applyAlignment="1" pivotButton="0" quotePrefix="0" xfId="0">
      <alignment horizontal="right" vertical="top" wrapText="1"/>
    </xf>
  </cellXfs>
  <cellStyles count="1">
    <cellStyle name="Normal" xfId="0" builtinId="0" hidden="0"/>
  </cellStyles>
  <dxfs count="5">
    <dxf>
      <font>
        <name val="Arial"/>
        <b val="1"/>
        <color rgb="00006100"/>
      </font>
      <fill>
        <patternFill patternType="solid">
          <fgColor rgb="00C6EFCE"/>
        </patternFill>
      </fill>
    </dxf>
    <dxf>
      <font>
        <name val="Arial"/>
        <b val="1"/>
        <color rgb="00375623"/>
      </font>
      <fill>
        <patternFill patternType="solid">
          <fgColor rgb="00E2EFDA"/>
        </patternFill>
      </fill>
    </dxf>
    <dxf>
      <font>
        <name val="Arial"/>
        <b val="1"/>
        <color rgb="00833C0B"/>
      </font>
      <fill>
        <patternFill patternType="solid">
          <fgColor rgb="00FCE4D6"/>
        </patternFill>
      </fill>
    </dxf>
    <dxf>
      <font>
        <name val="Arial"/>
        <b val="1"/>
        <color rgb="009C0006"/>
      </font>
      <fill>
        <patternFill patternType="solid">
          <fgColor rgb="00FFC7CE"/>
        </patternFill>
      </fill>
    </dxf>
    <dxf>
      <font>
        <name val="Arial"/>
        <b val="1"/>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Evaluation outcome (100 questions)</a:t>
            </a:r>
          </a:p>
        </rich>
      </tx>
    </title>
    <plotArea>
      <barChart>
        <barDir val="col"/>
        <grouping val="clustered"/>
        <ser>
          <idx val="0"/>
          <order val="0"/>
          <tx>
            <strRef>
              <f>'Summary'!C19</f>
            </strRef>
          </tx>
          <spPr>
            <a:ln>
              <a:prstDash val="solid"/>
            </a:ln>
          </spPr>
          <dPt>
            <idx val="0"/>
            <spPr>
              <a:solidFill>
                <a:srgbClr val="70AD47"/>
              </a:solidFill>
              <a:ln>
                <a:prstDash val="solid"/>
              </a:ln>
            </spPr>
          </dPt>
          <dPt>
            <idx val="1"/>
            <spPr>
              <a:solidFill>
                <a:srgbClr val="A9D08E"/>
              </a:solidFill>
              <a:ln>
                <a:prstDash val="solid"/>
              </a:ln>
            </spPr>
          </dPt>
          <dPt>
            <idx val="2"/>
            <spPr>
              <a:solidFill>
                <a:srgbClr val="F4B183"/>
              </a:solidFill>
              <a:ln>
                <a:prstDash val="solid"/>
              </a:ln>
            </spPr>
          </dPt>
          <dPt>
            <idx val="3"/>
            <spPr>
              <a:solidFill>
                <a:srgbClr val="E06666"/>
              </a:solidFill>
              <a:ln>
                <a:prstDash val="solid"/>
              </a:ln>
            </spPr>
          </dPt>
          <dPt>
            <idx val="4"/>
            <spPr>
              <a:solidFill>
                <a:srgbClr val="A6A6A6"/>
              </a:solidFill>
              <a:ln>
                <a:prstDash val="solid"/>
              </a:ln>
            </spPr>
          </dPt>
          <cat>
            <numRef>
              <f>'Summary'!$B$20:$B$24</f>
            </numRef>
          </cat>
          <val>
            <numRef>
              <f>'Summary'!$C$20:$C$24</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Questions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I101"/>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60" customWidth="1" min="3" max="3"/>
    <col width="70" customWidth="1" min="4" max="4"/>
    <col width="15" customWidth="1" min="5" max="5"/>
    <col width="60" customWidth="1" min="6" max="6"/>
    <col width="11" customWidth="1" min="7" max="7"/>
    <col width="10" customWidth="1" min="8" max="8"/>
    <col width="10" customWidth="1" min="9" max="9"/>
    <col width="18" customWidth="1" min="10" max="10"/>
    <col width="18" customWidth="1" min="11" max="11"/>
    <col width="11" customWidth="1" min="12" max="12"/>
    <col width="22" customWidth="1" min="13" max="13"/>
    <col width="60" customWidth="1" min="14" max="14"/>
    <col width="7" customWidth="1" min="15" max="15"/>
    <col width="10" customWidth="1" min="16" max="16"/>
    <col width="14" customWidth="1" min="17" max="17"/>
    <col width="11" customWidth="1" min="18" max="18"/>
    <col width="26" customWidth="1" min="19" max="19"/>
    <col width="9" customWidth="1" min="20" max="20"/>
    <col width="10" customWidth="1" min="21" max="21"/>
    <col width="10" customWidth="1" min="22" max="22"/>
    <col width="11" customWidth="1" min="23" max="23"/>
    <col width="10" customWidth="1" min="24" max="24"/>
    <col width="22" customWidth="1" min="25" max="25"/>
    <col width="34" customWidth="1" min="26" max="26"/>
    <col width="28" customWidth="1" min="27" max="27"/>
    <col width="15" customWidth="1" min="28" max="28"/>
    <col width="11" customWidth="1" min="29" max="29"/>
    <col width="50" customWidth="1" min="30" max="30"/>
    <col width="10" customWidth="1" min="31" max="31"/>
    <col width="10" customWidth="1" min="32" max="32"/>
    <col width="10" customWidth="1" min="33" max="33"/>
    <col width="10" customWidth="1" min="34" max="34"/>
    <col width="30" customWidth="1" min="35" max="35"/>
  </cols>
  <sheetData>
    <row r="1" ht="42" customHeight="1">
      <c r="A1" s="1" t="inlineStr">
        <is>
          <t>Question ID</t>
        </is>
      </c>
      <c r="B1" s="1" t="inlineStr">
        <is>
          <t>Question</t>
        </is>
      </c>
      <c r="C1" s="1" t="inlineStr">
        <is>
          <t>Reference Answer</t>
        </is>
      </c>
      <c r="D1" s="1" t="inlineStr">
        <is>
          <t>Generated Answer</t>
        </is>
      </c>
      <c r="E1" s="1" t="inlineStr">
        <is>
          <t>Evaluation Status</t>
        </is>
      </c>
      <c r="F1" s="1" t="inlineStr">
        <is>
          <t>Evaluation Explanation</t>
        </is>
      </c>
      <c r="G1" s="1" t="inlineStr">
        <is>
          <t>Duration (seconds)</t>
        </is>
      </c>
      <c r="H1" s="1" t="inlineStr">
        <is>
          <t>Input Tokens</t>
        </is>
      </c>
      <c r="I1" s="1" t="inlineStr">
        <is>
          <t>Output Tokens</t>
        </is>
      </c>
      <c r="J1" s="1" t="inlineStr">
        <is>
          <t>Base Model</t>
        </is>
      </c>
      <c r="K1" s="1" t="inlineStr">
        <is>
          <t>Embedding Model</t>
        </is>
      </c>
      <c r="L1" s="1" t="inlineStr">
        <is>
          <t>Execution Status</t>
        </is>
      </c>
      <c r="M1" s="1" t="inlineStr">
        <is>
          <t>Error Details</t>
        </is>
      </c>
      <c r="N1" s="1" t="inlineStr">
        <is>
          <t>Retrieval Notes</t>
        </is>
      </c>
      <c r="O1" s="1" t="inlineStr">
        <is>
          <t>Run Order</t>
        </is>
      </c>
      <c r="P1" s="1" t="inlineStr">
        <is>
          <t>Part (Stratum)</t>
        </is>
      </c>
      <c r="Q1" s="1" t="inlineStr">
        <is>
          <t>Question Type</t>
        </is>
      </c>
      <c r="R1" s="1" t="inlineStr">
        <is>
          <t>Difficulty</t>
        </is>
      </c>
      <c r="S1" s="1" t="inlineStr">
        <is>
          <t>Expected Citation (Verified Key)</t>
        </is>
      </c>
      <c r="T1" s="1" t="inlineStr">
        <is>
          <t>Citation Exact (1/0)</t>
        </is>
      </c>
      <c r="U1" s="1" t="inlineStr">
        <is>
          <t>Fabricated Citation (1/0)</t>
        </is>
      </c>
      <c r="V1" s="1" t="inlineStr">
        <is>
          <t>Substantive (0-2)</t>
        </is>
      </c>
      <c r="W1" s="1" t="inlineStr">
        <is>
          <t>Completeness (0-2)</t>
        </is>
      </c>
      <c r="X1" s="1" t="inlineStr">
        <is>
          <t>Scope Discipline (1/0)</t>
        </is>
      </c>
      <c r="Y1" s="1" t="inlineStr">
        <is>
          <t>Delivered Answer Type</t>
        </is>
      </c>
      <c r="Z1" s="1" t="inlineStr">
        <is>
          <t>Validator Outcome</t>
        </is>
      </c>
      <c r="AA1" s="1" t="inlineStr">
        <is>
          <t>Citations in Answer</t>
        </is>
      </c>
      <c r="AB1" s="1" t="inlineStr">
        <is>
          <t>Regulus Live Evaluator Status</t>
        </is>
      </c>
      <c r="AC1" s="1" t="inlineStr">
        <is>
          <t>Live Evaluator Score (0-100)</t>
        </is>
      </c>
      <c r="AD1" s="1" t="inlineStr">
        <is>
          <t>Live Evaluator Explanation</t>
        </is>
      </c>
      <c r="AE1" s="1" t="inlineStr">
        <is>
          <t>Pipeline Time (s)</t>
        </is>
      </c>
      <c r="AF1" s="1" t="inlineStr">
        <is>
          <t>Retrieval Time (s)</t>
        </is>
      </c>
      <c r="AG1" s="1" t="inlineStr">
        <is>
          <t>Generation Time (s)</t>
        </is>
      </c>
      <c r="AH1" s="1" t="inlineStr">
        <is>
          <t>Live Evaluation Time (s)</t>
        </is>
      </c>
      <c r="AI1" s="1" t="inlineStr">
        <is>
          <t>Telemetry Notes</t>
        </is>
      </c>
    </row>
    <row r="2">
      <c r="A2" s="2" t="inlineStr">
        <is>
          <t>COS-70.3-Q2</t>
        </is>
      </c>
      <c r="B2" s="2" t="inlineStr">
        <is>
          <t>Our pigment supplier sells us a 'D&amp;C Red lake blend' in a castor-oil carrier. How do FDA's definitions classify the lake, the blend and the oil?</t>
        </is>
      </c>
      <c r="C2" s="2" t="inlineStr">
        <is>
          <t>70.3(l): a lake is a straight color extended on a substratum by adsorption, coprecipitation or chemical combination, not simple mixing. (j): straight colors (listed in parts 73, 74 and 81) include lakes. (k): a mixture is two or more straight colors, or straight colors plus diluents. (m): the castor oil, if not itself a color additive and intentionally mixed to facilitate use, is a diluent.</t>
        </is>
      </c>
      <c r="D2" s="2" t="inlineStr">
        <is>
          <t>The generated answer could not be validated against the retrieved regulatory evidence, so it is not shown. The retrieved sources were not verified to answer the question as asked, so their text is not quoted as an answer. Sources consulted: 21 CFR 82.1051(a)(1), 21 CFR 82.1051(a)(2), 21 CFR 82.1051(b), 21 CFR 82.1051(b)(1), 21 CFR 82.1051(b)(2) and 3 more.</t>
        </is>
      </c>
      <c r="E2" s="2" t="inlineStr">
        <is>
          <t>FAIL</t>
        </is>
      </c>
      <c r="F2" s="2" t="inlineStr">
        <is>
          <t>Withheld, so there is no substantive answer. The sources it consulted were 82.1051, not the key's 70.3(j), (k), (l) and (m) definitions of lake, mixture and diluent.</t>
        </is>
      </c>
      <c r="G2" s="3" t="n">
        <v>97.7</v>
      </c>
      <c r="H2" s="4" t="n">
        <v>2013</v>
      </c>
      <c r="I2" s="4" t="n">
        <v>901</v>
      </c>
      <c r="J2" s="2" t="inlineStr">
        <is>
          <t>mlx-community/Qwen3-4B-Instruct-2507-4bit (rev 50d42775)</t>
        </is>
      </c>
      <c r="K2" s="2" t="inlineStr">
        <is>
          <t>BAAI/bge-small-en-v1.5 (dense section candidates for promotion)</t>
        </is>
      </c>
      <c r="L2" s="2" t="inlineStr">
        <is>
          <t>SUCCESS</t>
        </is>
      </c>
      <c r="M2" s="2" t="inlineStr"/>
      <c r="N2" s="2" t="inlineStr">
        <is>
          <t>Expected CFR section(s) 70.3: all in evidence; none cited in answer. Evidence (10): 21 CFR 82.1051(a)(1) [exact]; 21 CFR 82.1051(a)(2) [exact]; 21 CFR 82.1051(a)(2) [exact]; 21 CFR 82.1051(b) [exact]; 21 CFR 82.1051(b)(1) [exact]; 21 CFR 82.1051(b)(2) [exact]; 21 CFR 82.1051(b)(3) [exact]; 21 CFR 82.1051(b)(3) [exact]; 21 CFR 82.1050 [exact]; 21 CFR 70.3(l) [exact]. Query type None; semantic fallback not invoked.</t>
        </is>
      </c>
      <c r="O2" s="2" t="n">
        <v>1</v>
      </c>
      <c r="P2" s="2" t="inlineStr">
        <is>
          <t>70</t>
        </is>
      </c>
      <c r="Q2" s="2" t="inlineStr">
        <is>
          <t>Specific Requirement</t>
        </is>
      </c>
      <c r="R2" s="2" t="inlineStr">
        <is>
          <t>Intermediate</t>
        </is>
      </c>
      <c r="S2" s="2" t="inlineStr">
        <is>
          <t>21 CFR 70.3(j), (k), (l), (m)</t>
        </is>
      </c>
      <c r="T2" s="2" t="n">
        <v>0</v>
      </c>
      <c r="U2" s="2" t="n">
        <v>0</v>
      </c>
      <c r="V2" s="2" t="n">
        <v>0</v>
      </c>
      <c r="W2" s="2" t="n">
        <v>0</v>
      </c>
      <c r="X2" s="2" t="n">
        <v>1</v>
      </c>
      <c r="Y2" s="2" t="inlineStr">
        <is>
          <t>Withheld by validator (no answer shown)</t>
        </is>
      </c>
      <c r="Z2" s="2" t="inlineStr">
        <is>
          <t>initial False [provision_citation_mismatch, unsupported_claim] -&gt; final False; repair applied; fallback unvalidated_answer_withheld</t>
        </is>
      </c>
      <c r="AA2" s="2" t="inlineStr"/>
      <c r="AB2" s="2" t="n"/>
      <c r="AC2" s="2" t="n"/>
      <c r="AD2" s="2" t="n"/>
      <c r="AE2" s="3" t="n"/>
      <c r="AF2" s="3" t="n"/>
      <c r="AG2" s="3" t="n"/>
      <c r="AH2" s="3" t="n"/>
      <c r="AI2" s="2" t="inlineStr"/>
    </row>
    <row r="3">
      <c r="A3" s="2" t="inlineStr">
        <is>
          <t>COS-70.10-Q1</t>
        </is>
      </c>
      <c r="B3" s="2" t="inlineStr">
        <is>
          <t>Our cosmetics company is filing a new drug application for a tinted acne gel that uses an unlisted colorant purely for color. Does Part 70 say anything about that?</t>
        </is>
      </c>
      <c r="C3" s="2" t="inlineStr">
        <is>
          <t>Yes. 70.10(b)(1): if a new drug application proposes a color additive for coloring purposes only, part 71 safety-information requirements apply unless previously submitted or safety for that use is established. (b)(2): if the application inferentially proposes a color additive without designating it, the Commissioner notifies the applicant and proceeds under part 71. (b)(3): the color additive petition's filing date is the new drug application's filing date.</t>
        </is>
      </c>
      <c r="D3" s="2" t="inlineStr">
        <is>
          <t>The generated answer could not be validated against the retrieved regulatory evidence, so it is not shown. The retrieved sources were not verified to answer the question as asked, so their text is not quoted as an answer. Sources consulted: 21 CFR 70.10(a), 21 CFR 70.10(a)(1), 21 CFR 70.10(a)(2), 21 CFR 70.10(a)(3), 21 CFR 70.10(b) and 3 more.</t>
        </is>
      </c>
      <c r="E3" s="2" t="inlineStr">
        <is>
          <t>FAIL</t>
        </is>
      </c>
      <c r="F3" s="2" t="inlineStr">
        <is>
          <t>Withheld, so there is no substantive answer. It never states the 70.10(b)(1)-(3) NDA color-additive rules (part 71 safety data, inferential proposal, filing date).</t>
        </is>
      </c>
      <c r="G3" s="3" t="n">
        <v>60.1</v>
      </c>
      <c r="H3" s="4" t="n">
        <v>1929</v>
      </c>
      <c r="I3" s="4" t="n">
        <v>565</v>
      </c>
      <c r="J3" s="2" t="inlineStr">
        <is>
          <t>mlx-community/Qwen3-4B-Instruct-2507-4bit (rev 50d42775)</t>
        </is>
      </c>
      <c r="K3" s="2" t="inlineStr">
        <is>
          <t>BAAI/bge-small-en-v1.5 (dense section candidates for promotion)</t>
        </is>
      </c>
      <c r="L3" s="2" t="inlineStr">
        <is>
          <t>SUCCESS</t>
        </is>
      </c>
      <c r="M3" s="2" t="inlineStr"/>
      <c r="N3" s="2" t="inlineStr">
        <is>
          <t>Expected CFR section(s) 70.10: all in evidence; none cited in answer. Evidence (8): 21 CFR 70.10(a) [exact]; 21 CFR 70.10(a)(1) [exact]; 21 CFR 70.10(a)(2) [exact]; 21 CFR 70.10(a)(3) [exact]; 21 CFR 70.10(b) [exact]; 21 CFR 70.10(b)(1) [exact]; 21 CFR 70.10(b)(2) [exact]; 21 CFR 70.10(b)(3) [exact]. Query type None; semantic fallback not invoked.</t>
        </is>
      </c>
      <c r="O3" s="2" t="n">
        <v>2</v>
      </c>
      <c r="P3" s="2" t="inlineStr">
        <is>
          <t>70</t>
        </is>
      </c>
      <c r="Q3" s="2" t="inlineStr">
        <is>
          <t>Applicability</t>
        </is>
      </c>
      <c r="R3" s="2" t="inlineStr">
        <is>
          <t>Advanced</t>
        </is>
      </c>
      <c r="S3" s="2" t="inlineStr">
        <is>
          <t>21 CFR 70.10(b)(1)-(3)</t>
        </is>
      </c>
      <c r="T3" s="2" t="n">
        <v>0</v>
      </c>
      <c r="U3" s="2" t="n">
        <v>0</v>
      </c>
      <c r="V3" s="2" t="n">
        <v>0</v>
      </c>
      <c r="W3" s="2" t="n">
        <v>0</v>
      </c>
      <c r="X3" s="2" t="n">
        <v>1</v>
      </c>
      <c r="Y3" s="2" t="inlineStr">
        <is>
          <t>Withheld by validator (no answer shown)</t>
        </is>
      </c>
      <c r="Z3" s="2" t="inlineStr">
        <is>
          <t>initial False [invented_condition, unsupported_claim] -&gt; final False; repair applied; fallback unvalidated_answer_withheld</t>
        </is>
      </c>
      <c r="AA3" s="2" t="inlineStr"/>
      <c r="AB3" s="2" t="n"/>
      <c r="AC3" s="2" t="n"/>
      <c r="AD3" s="2" t="n"/>
      <c r="AE3" s="3" t="n"/>
      <c r="AF3" s="3" t="n"/>
      <c r="AG3" s="3" t="n"/>
      <c r="AH3" s="3" t="n"/>
      <c r="AI3" s="2" t="inlineStr"/>
    </row>
    <row r="4">
      <c r="A4" s="2" t="inlineStr">
        <is>
          <t>COS-70.11-Q1</t>
        </is>
      </c>
      <c r="B4" s="2" t="inlineStr">
        <is>
          <t>We're petitioning to list a new pigment for cosmetics. It shares a component with an already-listed colorant. Will FDA consider that overlap in setting a tolerance?</t>
        </is>
      </c>
      <c r="C4" s="2" t="inlineStr">
        <is>
          <t>Yes. 70.11(a)-(c): different color additives, and food additives and pesticide chemicals, may cause similar or related pharmacological or biological effects and, absent evidence to the contrary, are presumed to have additive toxic effects. (d): in setting tolerances the Commissioner considers, among other things, the amount of any common component permitted in other color additives, in food additives and pesticide chemical residues, and similar biological activity (e.g., cholinesterase inhibition).</t>
        </is>
      </c>
      <c r="D4" s="2" t="inlineStr">
        <is>
          <t>The FDA will consider overlap in setting a tolerance for a new pigment in cosmetics if the pigment shares a common component with an already-listed colorant, as long as that component is known to cause similar or related biological effects, and in the absence of evidence to the contrary, such components are presumed to have additive toxic effects. The Commissioner will take into consideration the amount of any common component permitted in other color additives, food additives, and pesticide chemical residues, as well as the similar biological activity produced by that substance when establishing tolerances.
21 CFR 70.11(a) states that different color additives may cause similar or related pharmacological or biological effects, and in the absence of evidence to the contrary, those that do so will be considered to have additive toxic effects [1].
21 CFR 70.11(b) states that food additives may also cause pharmacological or biological effects similar or related to such effects caused by color additives, and, in the absence of evidence to the contrary, those that do so will be considered as having additive toxic effects [2].
21 CFR 70.11(c) states that pesticide chemicals may also cause pharmacological or biological effects similar or related to such effects caused by color additives, and, in the absence of evidence to the contrary, those that do so will be considered to have additive toxic effects [3].
21 CFR 70.11(d) states that in establishing tolerances for color additives, the Commissioner will take into consideration, among other things, the amount of any common component permitted in other color additives, in food additives, and in pesticide chemical residues as well as the similar biological activity (such as cholinesterase inhibition) produced by such substance [4].</t>
        </is>
      </c>
      <c r="E4" s="2" t="inlineStr">
        <is>
          <t>PASS</t>
        </is>
      </c>
      <c r="F4" s="2" t="inlineStr">
        <is>
          <t>Answers yes and correctly restates 70.11(a)-(d): additive toxic effects are presumed for color additives, food additives and pesticides, and (d) considers common components and similar biological activity. The headline's 'as long as' condition is loose, but the body restates (d) correctly.</t>
        </is>
      </c>
      <c r="G4" s="3" t="n">
        <v>29.5</v>
      </c>
      <c r="H4" s="4" t="n">
        <v>1191</v>
      </c>
      <c r="I4" s="4" t="n">
        <v>356</v>
      </c>
      <c r="J4" s="2" t="inlineStr">
        <is>
          <t>mlx-community/Qwen3-4B-Instruct-2507-4bit (rev 50d42775)</t>
        </is>
      </c>
      <c r="K4" s="2" t="inlineStr">
        <is>
          <t>BAAI/bge-small-en-v1.5 (dense section candidates for promotion)</t>
        </is>
      </c>
      <c r="L4" s="2" t="inlineStr">
        <is>
          <t>SUCCESS</t>
        </is>
      </c>
      <c r="M4" s="2" t="inlineStr"/>
      <c r="N4" s="2" t="inlineStr">
        <is>
          <t>Expected CFR section(s) 70.11: all in evidence; cited in answer: 70.11. Evidence (4): 21 CFR 70.11(a) [exact]; 21 CFR 70.11(b) [exact]; 21 CFR 70.11(c) [exact]; 21 CFR 70.11(d) [exact]. Query type None; semantic fallback not invoked.</t>
        </is>
      </c>
      <c r="O4" s="2" t="n">
        <v>3</v>
      </c>
      <c r="P4" s="2" t="inlineStr">
        <is>
          <t>70</t>
        </is>
      </c>
      <c r="Q4" s="2" t="inlineStr">
        <is>
          <t>Specific Requirement</t>
        </is>
      </c>
      <c r="R4" s="2" t="inlineStr">
        <is>
          <t>Advanced</t>
        </is>
      </c>
      <c r="S4" s="2" t="inlineStr">
        <is>
          <t>21 CFR 70.11(a)-(d)</t>
        </is>
      </c>
      <c r="T4" s="2" t="n">
        <v>1</v>
      </c>
      <c r="U4" s="2" t="n">
        <v>0</v>
      </c>
      <c r="V4" s="2" t="n">
        <v>2</v>
      </c>
      <c r="W4" s="2" t="n">
        <v>2</v>
      </c>
      <c r="X4" s="2" t="n">
        <v>1</v>
      </c>
      <c r="Y4" s="2" t="inlineStr">
        <is>
          <t>Generated answer</t>
        </is>
      </c>
      <c r="Z4" s="2" t="inlineStr">
        <is>
          <t>initial True -&gt; final True</t>
        </is>
      </c>
      <c r="AA4" s="2" t="inlineStr">
        <is>
          <t>[1] = 21 CFR 70.11(a); [2] = 21 CFR 70.11(b); [3] = 21 CFR 70.11(c); [4] = 21 CFR 70.11(d)</t>
        </is>
      </c>
      <c r="AB4" s="2" t="n"/>
      <c r="AC4" s="2" t="n"/>
      <c r="AD4" s="2" t="n"/>
      <c r="AE4" s="3" t="n"/>
      <c r="AF4" s="3" t="n"/>
      <c r="AG4" s="3" t="n"/>
      <c r="AH4" s="3" t="n"/>
      <c r="AI4" s="2" t="inlineStr"/>
    </row>
    <row r="5">
      <c r="A5" s="2" t="inlineStr">
        <is>
          <t>COS-70.19-Q1</t>
        </is>
      </c>
      <c r="B5" s="2" t="inlineStr">
        <is>
          <t>We're petitioning to list a new colorant for cosmetics only. What deposit is due, and what if we withdraw?</t>
        </is>
      </c>
      <c r="C5" s="2" t="inlineStr">
        <is>
          <t>70.19(c): $2,600.00 for drugs and/or cosmetics only (vs. $3,000.00 general or foods only under (a)-(b)), regardless of tolerances or restrictions (d). Withdrawal before acceptance: refund less $600.00 clerical fee (e). Withdrawal within 30 days after filing: refund reduced by $1,600.00 for (c) petitions (f). Resubmission within 6 months of a post-filing withdrawal: $1,600.00 for (c); later, full deposit (g). Resubmission after pre-acceptance withdrawal: full new deposit (h).</t>
        </is>
      </c>
      <c r="D5" s="2" t="inlineStr">
        <is>
          <t>The generated answer could not be validated against the retrieved regulatory evidence, so it is not shown. The retrieved sources were not verified to answer the question as asked, so their text is not quoted as an answer. Sources consulted: 21 CFR 70.19(a), 21 CFR 70.19(b), 21 CFR 70.19(c), 21 CFR 70.19(d), 21 CFR 70.19(e) and 13 more.</t>
        </is>
      </c>
      <c r="E5" s="2" t="inlineStr">
        <is>
          <t>FAIL</t>
        </is>
      </c>
      <c r="F5" s="2" t="inlineStr">
        <is>
          <t>Withheld. It does not give the $2,600 deposit or the withdrawal refunds and resubmission fees in 70.19(c)-(h).</t>
        </is>
      </c>
      <c r="G5" s="3" t="n">
        <v>135.6</v>
      </c>
      <c r="H5" s="4" t="n">
        <v>3035</v>
      </c>
      <c r="I5" s="4" t="n">
        <v>1189</v>
      </c>
      <c r="J5" s="2" t="inlineStr">
        <is>
          <t>mlx-community/Qwen3-4B-Instruct-2507-4bit (rev 50d42775)</t>
        </is>
      </c>
      <c r="K5" s="2" t="inlineStr">
        <is>
          <t>BAAI/bge-small-en-v1.5 (dense section candidates for promotion)</t>
        </is>
      </c>
      <c r="L5" s="2" t="inlineStr">
        <is>
          <t>SUCCESS</t>
        </is>
      </c>
      <c r="M5" s="2" t="inlineStr"/>
      <c r="N5" s="2" t="inlineStr">
        <is>
          <t>Expected CFR section(s) 70.19: all in evidence; none cited in answer. Evidence (18): 21 CFR 70.19(a) [exact]; 21 CFR 70.19(b) [exact]; 21 CFR 70.19(c) [exact]; 21 CFR 70.19(d) [exact]; 21 CFR 70.19(e) [exact]; 21 CFR 70.19(f) [exact]; 21 CFR 70.19(g) [exact]; 21 CFR 70.19(h) [exact]; 21 CFR 70.19(i) [exact]; 21 CFR 70.19(j) [exact]; 21 CFR 70.19(k) [exact]; 21 CFR 70.19(l) [exact]; 21 CFR 70.19(m) [exact]; 21 CFR 70.19(n) [exact]; 21 CFR 70.19(o) [exact]; 21 CFR 70.19(p) [exact]; 21 CFR 70.19(q) [exact]; 21 CFR 70.19(r) [exact]. Query type None; semantic fallback not invoked.</t>
        </is>
      </c>
      <c r="O5" s="2" t="n">
        <v>4</v>
      </c>
      <c r="P5" s="2" t="inlineStr">
        <is>
          <t>70</t>
        </is>
      </c>
      <c r="Q5" s="2" t="inlineStr">
        <is>
          <t>Specific Requirement</t>
        </is>
      </c>
      <c r="R5" s="2" t="inlineStr">
        <is>
          <t>Intermediate</t>
        </is>
      </c>
      <c r="S5" s="2" t="inlineStr">
        <is>
          <t>21 CFR 70.19(c)-(h)</t>
        </is>
      </c>
      <c r="T5" s="2" t="n">
        <v>0</v>
      </c>
      <c r="U5" s="2" t="n">
        <v>0</v>
      </c>
      <c r="V5" s="2" t="n">
        <v>0</v>
      </c>
      <c r="W5" s="2" t="n">
        <v>0</v>
      </c>
      <c r="X5" s="2" t="n">
        <v>1</v>
      </c>
      <c r="Y5" s="2" t="inlineStr">
        <is>
          <t>Withheld by validator (no answer shown)</t>
        </is>
      </c>
      <c r="Z5" s="2" t="inlineStr">
        <is>
          <t>initial False [unsupported_figure] -&gt; final False; repair applied; fallback unvalidated_answer_withheld</t>
        </is>
      </c>
      <c r="AA5" s="2" t="inlineStr"/>
      <c r="AB5" s="2" t="n"/>
      <c r="AC5" s="2" t="n"/>
      <c r="AD5" s="2" t="n"/>
      <c r="AE5" s="3" t="n"/>
      <c r="AF5" s="3" t="n"/>
      <c r="AG5" s="3" t="n"/>
      <c r="AH5" s="3" t="n"/>
      <c r="AI5" s="2" t="inlineStr"/>
    </row>
    <row r="6">
      <c r="A6" s="2" t="inlineStr">
        <is>
          <t>COS-70.20-Q1</t>
        </is>
      </c>
      <c r="B6" s="2" t="inlineStr">
        <is>
          <t>We repack certified straight colors into smaller pails for cosmetic customers. What packaging rules apply?</t>
        </is>
      </c>
      <c r="C6" s="2" t="inlineStr">
        <is>
          <t>70.20: straight colors (other than hair dyes) must be packaged in containers that prevent changes in composition, sealed so they cannot be opened without breaking the seal. An unavoidable moisture-content change from ordinary, customary exposure under good storage, packing and distribution is not a change in composition. Packaging material that is a food additive must be authorized by an appropriate regulation in parts 170 through 189.</t>
        </is>
      </c>
      <c r="D6" s="2" t="inlineStr">
        <is>
          <t>Repackaging certified straight colors into smaller pails for cosmetic customers is permitted under the following conditions: the packaging must prevent changes in composition, be sealed so they cannot be opened without breaking the seal, and any unavoidable change in moisture content due to ordinary exposure during storage, packing, or distribution does not constitute a change in composition. If the packaging material is a food additive, it must be authorized by an appropriate regulation in parts 170 through 189 of this chapter. The term "straight color" includes lakes and substances permitted by specifications for such colors as defined in parts 73, 74, and 81 of this chapter.
21 CFR 70.3(j) [2] defines the term "straight color" to include color additives listed in parts 73, 74, and 81 of this chapter, and such substances as lakes and those permitted by specifications for these colors.
21 CFR 70.20 [1] requires that straight colors be packaged in containers which prevent changes in composition; the packages must be sealed so they cannot be opened without breaking the seal; an unavoidable change in moisture content due to ordinary and customary exposure during good storage, packing, and distribution practice is not considered a change in composition; if the packaging material is a food additive, it shall be authorized by an appropriate regulation in parts 170 through 189 of this chapter.</t>
        </is>
      </c>
      <c r="E6" s="2" t="inlineStr">
        <is>
          <t>PASS</t>
        </is>
      </c>
      <c r="F6" s="2" t="inlineStr">
        <is>
          <t>States every 70.20 element correctly: containers that prevent changes in composition, a seal that must be broken to open, the moisture-change carve-out, and food-additive packaging authorized under parts 170-189. The 70.3(j) citation is correct. It omits the hair-dye exclusion, which is not relevant here, and frames the rules as 'permitted' (minor).</t>
        </is>
      </c>
      <c r="G6" s="3" t="n">
        <v>27</v>
      </c>
      <c r="H6" s="4" t="n">
        <v>1017</v>
      </c>
      <c r="I6" s="4" t="n">
        <v>294</v>
      </c>
      <c r="J6" s="2" t="inlineStr">
        <is>
          <t>mlx-community/Qwen3-4B-Instruct-2507-4bit (rev 50d42775)</t>
        </is>
      </c>
      <c r="K6" s="2" t="inlineStr">
        <is>
          <t>BAAI/bge-small-en-v1.5 (dense section candidates for promotion)</t>
        </is>
      </c>
      <c r="L6" s="2" t="inlineStr">
        <is>
          <t>SUCCESS</t>
        </is>
      </c>
      <c r="M6" s="2" t="inlineStr"/>
      <c r="N6" s="2" t="inlineStr">
        <is>
          <t>Expected CFR section(s) 70.20: all in evidence; cited in answer: 70.20. Evidence (2): 21 CFR 70.20 [exact]; 21 CFR 70.3(j) [exact]. Query type None; semantic fallback not invoked.</t>
        </is>
      </c>
      <c r="O6" s="2" t="n">
        <v>5</v>
      </c>
      <c r="P6" s="2" t="inlineStr">
        <is>
          <t>70</t>
        </is>
      </c>
      <c r="Q6" s="2" t="inlineStr">
        <is>
          <t>Specific Requirement</t>
        </is>
      </c>
      <c r="R6" s="2" t="inlineStr">
        <is>
          <t>Intermediate</t>
        </is>
      </c>
      <c r="S6" s="2" t="inlineStr">
        <is>
          <t>21 CFR 70.20</t>
        </is>
      </c>
      <c r="T6" s="2" t="n">
        <v>1</v>
      </c>
      <c r="U6" s="2" t="n">
        <v>0</v>
      </c>
      <c r="V6" s="2" t="n">
        <v>2</v>
      </c>
      <c r="W6" s="2" t="n">
        <v>2</v>
      </c>
      <c r="X6" s="2" t="n">
        <v>1</v>
      </c>
      <c r="Y6" s="2" t="inlineStr">
        <is>
          <t>Generated answer</t>
        </is>
      </c>
      <c r="Z6" s="2" t="inlineStr">
        <is>
          <t>initial True -&gt; final True</t>
        </is>
      </c>
      <c r="AA6" s="2" t="inlineStr">
        <is>
          <t>[2] = 21 CFR 70.3(j); [1] = 21 CFR 70.20</t>
        </is>
      </c>
      <c r="AB6" s="2" t="n"/>
      <c r="AC6" s="2" t="n"/>
      <c r="AD6" s="2" t="n"/>
      <c r="AE6" s="3" t="n"/>
      <c r="AF6" s="3" t="n"/>
      <c r="AG6" s="3" t="n"/>
      <c r="AH6" s="3" t="n"/>
      <c r="AI6" s="2" t="inlineStr"/>
    </row>
    <row r="7">
      <c r="A7" s="2" t="inlineStr">
        <is>
          <t>COS-70.45-Q1</t>
        </is>
      </c>
      <c r="B7" s="2" t="inlineStr">
        <is>
          <t>Our cosmetic use is in a petition alongside food uses, but the data don't show all uses would be safe at the levels proposed. What happens?</t>
        </is>
      </c>
      <c r="C7" s="2" t="inlineStr">
        <is>
          <t>70.45: if the data fail to show safety for all proposed uses or levels, the Commissioner publishes a Federal Register notice that the safe tolerance must be allocated among competing needs, calling for data from all interested persons under section 721(b)(8). Time for acting is stayed until the data are presented, then runs anew. As promptly as possible, the Commissioner announces the allocation and tolerance limitations by order.</t>
        </is>
      </c>
      <c r="D7" s="2" t="inlineStr">
        <is>
          <t>The generated answer could not be validated against the retrieved regulatory evidence, so it is not shown. The retrieved sources were not verified to answer the question as asked, so their text is not quoted as an answer. Sources consulted: 21 CFR 740.10(a), 21 CFR 740.10(b), 21 CFR 740.10(b)(1), 21 CFR 740.10(b)(2), 21 CFR 740.10(b)(3) and 1 more.</t>
        </is>
      </c>
      <c r="E7" s="2" t="inlineStr">
        <is>
          <t>FAIL</t>
        </is>
      </c>
      <c r="F7" s="2" t="inlineStr">
        <is>
          <t>Withheld, and the sources consulted were 740.10, which is unrelated. There is no answer on 70.45 allocation of the safe tolerance, the Federal Register call for data or the stayed time limit.</t>
        </is>
      </c>
      <c r="G7" s="3" t="n">
        <v>52.2</v>
      </c>
      <c r="H7" s="4" t="n">
        <v>1465</v>
      </c>
      <c r="I7" s="4" t="n">
        <v>414</v>
      </c>
      <c r="J7" s="2" t="inlineStr">
        <is>
          <t>mlx-community/Qwen3-4B-Instruct-2507-4bit (rev 50d42775)</t>
        </is>
      </c>
      <c r="K7" s="2" t="inlineStr">
        <is>
          <t>BAAI/bge-small-en-v1.5 (dense section candidates for promotion)</t>
        </is>
      </c>
      <c r="L7" s="2" t="inlineStr">
        <is>
          <t>SUCCESS</t>
        </is>
      </c>
      <c r="M7" s="2" t="inlineStr"/>
      <c r="N7" s="2" t="inlineStr">
        <is>
          <t>Expected CFR section(s) 70.45: none in evidence; none cited in answer. Evidence (7): 21 CFR 740.10(a) [exact]; 21 CFR 740.10(a) [exact]; 21 CFR 740.10(b) [exact]; 21 CFR 740.10(b)(1) [exact]; 21 CFR 740.10(b)(2) [exact]; 21 CFR 740.10(b)(3) [exact]; 21 CFR 740.10(c) [exact]. Query type None; semantic fallback not invoked.</t>
        </is>
      </c>
      <c r="O7" s="2" t="n">
        <v>6</v>
      </c>
      <c r="P7" s="2" t="inlineStr">
        <is>
          <t>70</t>
        </is>
      </c>
      <c r="Q7" s="2" t="inlineStr">
        <is>
          <t>Specific Requirement</t>
        </is>
      </c>
      <c r="R7" s="2" t="inlineStr">
        <is>
          <t>Advanced</t>
        </is>
      </c>
      <c r="S7" s="2" t="inlineStr">
        <is>
          <t>21 CFR 70.45</t>
        </is>
      </c>
      <c r="T7" s="2" t="n">
        <v>0</v>
      </c>
      <c r="U7" s="2" t="n">
        <v>0</v>
      </c>
      <c r="V7" s="2" t="n">
        <v>0</v>
      </c>
      <c r="W7" s="2" t="n">
        <v>0</v>
      </c>
      <c r="X7" s="2" t="n">
        <v>1</v>
      </c>
      <c r="Y7" s="2" t="inlineStr">
        <is>
          <t>Withheld by validator (no answer shown)</t>
        </is>
      </c>
      <c r="Z7" s="2" t="inlineStr">
        <is>
          <t>initial False [condition_not_in_cited_source, unsupported_claim] -&gt; final False; repair applied; fallback unvalidated_answer_withheld</t>
        </is>
      </c>
      <c r="AA7" s="2" t="inlineStr"/>
      <c r="AB7" s="2" t="n"/>
      <c r="AC7" s="2" t="n"/>
      <c r="AD7" s="2" t="n"/>
      <c r="AE7" s="3" t="n"/>
      <c r="AF7" s="3" t="n"/>
      <c r="AG7" s="3" t="n"/>
      <c r="AH7" s="3" t="n"/>
      <c r="AI7" s="2" t="inlineStr"/>
    </row>
    <row r="8">
      <c r="A8" s="2" t="inlineStr">
        <is>
          <t>COS-71.4-Q1</t>
        </is>
      </c>
      <c r="B8" s="2" t="inlineStr">
        <is>
          <t>While reviewing our color additive petition, FDA asked for samples of our pigment and the finished eyeshadow. Must we provide them, and does this affect the review timeline?</t>
        </is>
      </c>
      <c r="C8" s="2" t="inlineStr">
        <is>
          <t>Under 71.4 FDA may, at any time during review, request samples of the additive, its components, or the cosmetic containing it, and clarifying information, stating the quantity needed. The 90-day limit under section 721(d)(1) is extended one day per day from the request's mailing date until response. If not submitted within 180 days after filing, when requested reasonably in advance, the petition is considered withdrawn without prejudice.</t>
        </is>
      </c>
      <c r="D8" s="2" t="inlineStr">
        <is>
          <t>Yes, you must provide samples of your pigment and the finished eyeshadow if FDA requests them, as the Commissioner has the authority to request such samples during the review of a color additive petition. The request for samples does affect the review timeline: the date used for computing the 90-day limit shall be moved forward one day for each day taken by the petitioner to submit the information and/or sample after the mailing date of the request. If the information or sample is requested a reasonable time in advance of the 180 days, but is not submitted within such 180 days after filing of the petition, the petition will be considered withdrawn without prejudice.
21 CFR 71.4 requires that the Commissioner may request samples of the color additive, articles used as components thereof, or of the food, drug, or cosmetic in which the color additive is proposed to be used, or which comprises the color additive, and any additional information needed to clarify a submitted method or other aspect of a petition while the petition is under consideration [1].  
The Commissioner shall specify in the request for a sample a quantity deemed adequate to permit tests of analytical methods to determine quantities of the color additive present in products for which it is intended to be used, or adequate for any study or investigation reasonably required with respect to the safety of the color additive or the physical or technical effect it produces [1].  
The date used for computing the 90-day limit shall be moved forward one day for each day taken by the petitioner to submit the information and/or sample after the mailing date of the request [1].</t>
        </is>
      </c>
      <c r="E8" s="2" t="inlineStr">
        <is>
          <t>PASS</t>
        </is>
      </c>
      <c r="F8" s="2" t="inlineStr">
        <is>
          <t>Covers all 71.4 elements: FDA may request samples and information and must state the quantity, the 90-day limit moves forward one day per day of delay, and the petition counts as withdrawn without prejudice if samples are not submitted within 180 days. 'Must provide' is slightly strong, but the withdrawal consequence is stated correctly.</t>
        </is>
      </c>
      <c r="G8" s="3" t="n">
        <v>47.3</v>
      </c>
      <c r="H8" s="4" t="n">
        <v>1546</v>
      </c>
      <c r="I8" s="4" t="n">
        <v>373</v>
      </c>
      <c r="J8" s="2" t="inlineStr">
        <is>
          <t>mlx-community/Qwen3-4B-Instruct-2507-4bit (rev 50d42775)</t>
        </is>
      </c>
      <c r="K8" s="2" t="inlineStr">
        <is>
          <t>BAAI/bge-small-en-v1.5 (dense section candidates for promotion)</t>
        </is>
      </c>
      <c r="L8" s="2" t="inlineStr">
        <is>
          <t>SUCCESS</t>
        </is>
      </c>
      <c r="M8" s="2" t="inlineStr"/>
      <c r="N8" s="2" t="inlineStr">
        <is>
          <t>Expected CFR section(s) 71.4: all in evidence; cited in answer: 71.4. Evidence (1): 21 CFR 71.4 [exact]. Query type None; semantic fallback not invoked.</t>
        </is>
      </c>
      <c r="O8" s="2" t="n">
        <v>7</v>
      </c>
      <c r="P8" s="2" t="inlineStr">
        <is>
          <t>71</t>
        </is>
      </c>
      <c r="Q8" s="2" t="inlineStr">
        <is>
          <t>How to Comply</t>
        </is>
      </c>
      <c r="R8" s="2" t="inlineStr">
        <is>
          <t>Intermediate</t>
        </is>
      </c>
      <c r="S8" s="2" t="inlineStr">
        <is>
          <t>21 CFR 71.4</t>
        </is>
      </c>
      <c r="T8" s="2" t="n">
        <v>1</v>
      </c>
      <c r="U8" s="2" t="n">
        <v>0</v>
      </c>
      <c r="V8" s="2" t="n">
        <v>2</v>
      </c>
      <c r="W8" s="2" t="n">
        <v>2</v>
      </c>
      <c r="X8" s="2" t="n">
        <v>1</v>
      </c>
      <c r="Y8" s="2" t="inlineStr">
        <is>
          <t>Generated answer</t>
        </is>
      </c>
      <c r="Z8" s="2" t="inlineStr">
        <is>
          <t>initial True -&gt; final True</t>
        </is>
      </c>
      <c r="AA8" s="2" t="inlineStr">
        <is>
          <t>[1] = 21 CFR 71.4</t>
        </is>
      </c>
      <c r="AB8" s="2" t="n"/>
      <c r="AC8" s="2" t="n"/>
      <c r="AD8" s="2" t="n"/>
      <c r="AE8" s="3" t="n"/>
      <c r="AF8" s="3" t="n"/>
      <c r="AG8" s="3" t="n"/>
      <c r="AH8" s="3" t="n"/>
      <c r="AI8" s="2" t="inlineStr"/>
    </row>
    <row r="9">
      <c r="A9" s="2" t="inlineStr">
        <is>
          <t>COS-71.6-Q2</t>
        </is>
      </c>
      <c r="B9" s="2" t="inlineStr">
        <is>
          <t>FDA told us our technically complete petition is inadequate because some data are unclear. Can we pull it without hurting a future filing?</t>
        </is>
      </c>
      <c r="C9" s="2" t="inlineStr">
        <is>
          <t>Yes. Under 71.6(c)(1), when FDA notifies the petitioner that a technically complete petition is inadequate (e.g., data unclear or incomplete), the petitioner may withdraw it pending clarification or additional data, without prejudice to a future filing; on refiling, the time limitation begins anew. Under (c)(2) a petitioner may also withdraw without prejudice any time before the 71.20 order is forwarded to the Federal Register.</t>
        </is>
      </c>
      <c r="D9" s="2" t="inlineStr">
        <is>
          <t>Yes, a petitioner may withdraw a technically complete petition that is deemed inadequate because the data are unclear, without hurting a future filing. This withdrawal will be without prejudice to a future filing, and upon refiling, the time limitation will begin to run anew from the date of refiling [4].
21 CFR 71.6(c)(1) permits a petitioner to withdraw a petition that is technically complete but inadequate due to unclear or insufficient data, and such withdrawal will be without prejudice to a future filing [4].  
21 CFR 71.6(c)(2) allows a petitioner to withdraw the petition at any time before the order for publication in the Federal Register, with the same effect of being without prejudice to a future filing [5].</t>
        </is>
      </c>
      <c r="E9" s="2" t="inlineStr">
        <is>
          <t>PASS</t>
        </is>
      </c>
      <c r="F9" s="2" t="inlineStr">
        <is>
          <t>Correctly answers yes under 71.6(c)(1): withdrawal is without prejudice and the time limit runs anew on refiling. It also gives (c)(2), withdrawal any time before the order goes to the Federal Register. Both citations are correct.</t>
        </is>
      </c>
      <c r="G9" s="3" t="n">
        <v>24.6</v>
      </c>
      <c r="H9" s="4" t="n">
        <v>1547</v>
      </c>
      <c r="I9" s="4" t="n">
        <v>154</v>
      </c>
      <c r="J9" s="2" t="inlineStr">
        <is>
          <t>mlx-community/Qwen3-4B-Instruct-2507-4bit (rev 50d42775)</t>
        </is>
      </c>
      <c r="K9" s="2" t="inlineStr">
        <is>
          <t>BAAI/bge-small-en-v1.5 (dense section candidates for promotion)</t>
        </is>
      </c>
      <c r="L9" s="2" t="inlineStr">
        <is>
          <t>SUCCESS</t>
        </is>
      </c>
      <c r="M9" s="2" t="inlineStr"/>
      <c r="N9" s="2" t="inlineStr">
        <is>
          <t>Expected CFR section(s) 71.6: all in evidence; cited in answer: 71.6. Evidence (5): 21 CFR 71.6(a) [exact]; 21 CFR 71.6(b) [exact]; 21 CFR 71.6(c) [exact]; 21 CFR 71.6(c)(1) [exact]; 21 CFR 71.6(c)(2) [exact]. Query type None; semantic fallback not invoked.</t>
        </is>
      </c>
      <c r="O9" s="2" t="n">
        <v>8</v>
      </c>
      <c r="P9" s="2" t="inlineStr">
        <is>
          <t>71</t>
        </is>
      </c>
      <c r="Q9" s="2" t="inlineStr">
        <is>
          <t>Exemption</t>
        </is>
      </c>
      <c r="R9" s="2" t="inlineStr">
        <is>
          <t>Intermediate</t>
        </is>
      </c>
      <c r="S9" s="2" t="inlineStr">
        <is>
          <t>21 CFR 71.6(c)(1), (c)(2)</t>
        </is>
      </c>
      <c r="T9" s="2" t="n">
        <v>1</v>
      </c>
      <c r="U9" s="2" t="n">
        <v>0</v>
      </c>
      <c r="V9" s="2" t="n">
        <v>2</v>
      </c>
      <c r="W9" s="2" t="n">
        <v>2</v>
      </c>
      <c r="X9" s="2" t="n">
        <v>1</v>
      </c>
      <c r="Y9" s="2" t="inlineStr">
        <is>
          <t>Generated answer</t>
        </is>
      </c>
      <c r="Z9" s="2" t="inlineStr">
        <is>
          <t>initial True -&gt; final True</t>
        </is>
      </c>
      <c r="AA9" s="2" t="inlineStr">
        <is>
          <t>[4] = 21 CFR 71.6(c)(1); [5] = 21 CFR 71.6(c)(2)</t>
        </is>
      </c>
      <c r="AB9" s="2" t="n"/>
      <c r="AC9" s="2" t="n"/>
      <c r="AD9" s="2" t="n"/>
      <c r="AE9" s="3" t="n"/>
      <c r="AF9" s="3" t="n"/>
      <c r="AG9" s="3" t="n"/>
      <c r="AH9" s="3" t="n"/>
      <c r="AI9" s="2" t="inlineStr"/>
    </row>
    <row r="10">
      <c r="A10" s="2" t="inlineStr">
        <is>
          <t>COS-71.20-Q1</t>
        </is>
      </c>
      <c r="B10" s="2" t="inlineStr">
        <is>
          <t>If FDA grants our petition for a new cosmetic color, what will the listing regulation look like and when will it publish?</t>
        </is>
      </c>
      <c r="C10" s="2" t="inlineStr">
        <is>
          <t>Within 90 days after filing (180 if extended under section 721(d)(1)), FDA forwards a regulation listing the additive in part 73 or 74 to the Federal Register. Under (a)(1) it may list for general use or prescribe conditions: specific products or classes, maximum straight color or diluent, manner of use, and directions, labeling or packing requirements. (a)(2) lists only uses found suitable and safe; otherwise an order denying with reasons.</t>
        </is>
      </c>
      <c r="D10" s="2" t="inlineStr">
        <is>
          <t>If FDA grants a petition for a new cosmetic color, the listing regulation will be published in the Federal Register within 90 days after filing of the petition (or within 180 days if extended as provided in section 721(d)(1) of the act). The regulation will list the color additive in part 73 or 74 of this chapter on the appropriate list or lists, and it may specify the conditions under which the color additive may be safely used, including maximum quantities, specific food, drug, or cosmetic uses, methods of addition, and labeling requirements deemed necessary to assure safety. The regulation will only list the color additive for the use(s) for which it has been found suitable and safe; if not, the Commissioner shall by order deny the petition and notify the petitioner of such order and reasons. If the color additive is intended for use in meat, meat food product, or poultry product subject to FMIA or PPIA, the regulation must list any such uses where the color has been found suitable and safe. The regulation may exempt the color additive from batch certification if the Commissioner finds it unnecessary for public health protection, based on considerations of composition, manufacturing process, impurities, toxic potential, control procedures, and variability.
21 CFR 70.3(j) [7] defines "straight color" as a color additive listed in parts 73, 74, and 81 of this chapter, including lakes and substances permitted by the specifications for such color.
21 CFR 71.20(a) [2] requires that the regulation list the color additive in part 73 or 74 of this chapter on an appropriate list or lists as provided under section 721(b)(1).
21 CFR 71.20(a)(1) [3] specifies that the regulation may list the color additive for general use in or on foods, drugs, or cosmetics, or for coloring the human body, and may prescribe conditions such as maximum quantities of straight color or diluent, specific food, drug, or cosmetic classes, methods of addition, and labeling or packing requirements to assure safety.
21 CFR 71.20(a)(2) [4] requires that the regulation list the color additive only for uses for which it has been found suitable and safe; alternatively, the Commissioner may deny the petition with reasons.
21 CFR 71.20(a)(3) [5] mandates that if the color is to be used in meat, meat food product, or poultry product under FMIA or PPIA, the regulation must list such uses where the color has been found suitable and safe.
21 CFR 71.20(b) [6] provides that the Commissioner may exempt the color additive from batch certification if they find it unnecessary for public health protection, based on composition, manufacturing process, possible impurities, toxic potential, control and analytical procedures, and variability of composition.</t>
        </is>
      </c>
      <c r="E10" s="2" t="inlineStr">
        <is>
          <t>PASS</t>
        </is>
      </c>
      <c r="F10" s="2" t="inlineStr">
        <is>
          <t>Covers the 90/180-day timing, listing in part 73 or 74, the (a)(1) conditions, (a)(2) listing only uses found safe or else denial, (a)(3) and the (b) certification exemption. All citations are correct. It says 'published' where the rule says 'forwarded for publication', a minor slip.</t>
        </is>
      </c>
      <c r="G10" s="3" t="n">
        <v>41</v>
      </c>
      <c r="H10" s="4" t="n">
        <v>1740</v>
      </c>
      <c r="I10" s="4" t="n">
        <v>610</v>
      </c>
      <c r="J10" s="2" t="inlineStr">
        <is>
          <t>mlx-community/Qwen3-4B-Instruct-2507-4bit (rev 50d42775)</t>
        </is>
      </c>
      <c r="K10" s="2" t="inlineStr">
        <is>
          <t>BAAI/bge-small-en-v1.5 (dense section candidates for promotion)</t>
        </is>
      </c>
      <c r="L10" s="2" t="inlineStr">
        <is>
          <t>SUCCESS</t>
        </is>
      </c>
      <c r="M10" s="2" t="inlineStr"/>
      <c r="N10" s="2" t="inlineStr">
        <is>
          <t>Expected CFR section(s) 71.20: all in evidence; cited in answer: 71.20. Evidence (7): 21 CFR 71.20 [exact]; 21 CFR 71.20(a) [exact]; 21 CFR 71.20(a)(1) [exact]; 21 CFR 71.20(a)(2) [exact]; 21 CFR 71.20(a)(3) [exact]; 21 CFR 71.20(b) [exact]; 21 CFR 70.3(j) [exact]. Query type None; semantic fallback not invoked.</t>
        </is>
      </c>
      <c r="O10" s="2" t="n">
        <v>9</v>
      </c>
      <c r="P10" s="2" t="inlineStr">
        <is>
          <t>71</t>
        </is>
      </c>
      <c r="Q10" s="2" t="inlineStr">
        <is>
          <t>Specific Requirement</t>
        </is>
      </c>
      <c r="R10" s="2" t="inlineStr">
        <is>
          <t>Intermediate</t>
        </is>
      </c>
      <c r="S10" s="2" t="inlineStr">
        <is>
          <t>21 CFR 71.20 (introductory text), (a)(1)-(3), (b)</t>
        </is>
      </c>
      <c r="T10" s="2" t="n">
        <v>1</v>
      </c>
      <c r="U10" s="2" t="n">
        <v>0</v>
      </c>
      <c r="V10" s="2" t="n">
        <v>2</v>
      </c>
      <c r="W10" s="2" t="n">
        <v>2</v>
      </c>
      <c r="X10" s="2" t="n">
        <v>1</v>
      </c>
      <c r="Y10" s="2" t="inlineStr">
        <is>
          <t>Generated answer</t>
        </is>
      </c>
      <c r="Z10" s="2" t="inlineStr">
        <is>
          <t>initial True -&gt; final True</t>
        </is>
      </c>
      <c r="AA10" s="2" t="inlineStr">
        <is>
          <t>[7] = 21 CFR 70.3(j); [2] = 21 CFR 71.20(a); [3] = 21 CFR 71.20(a)(1); [4] = 21 CFR 71.20(a)(2); [5] = 21 CFR 71.20(a)(3); [6] = 21 CFR 71.20(b)</t>
        </is>
      </c>
      <c r="AB10" s="2" t="n"/>
      <c r="AC10" s="2" t="n"/>
      <c r="AD10" s="2" t="n"/>
      <c r="AE10" s="3" t="n"/>
      <c r="AF10" s="3" t="n"/>
      <c r="AG10" s="3" t="n"/>
      <c r="AH10" s="3" t="n"/>
      <c r="AI10" s="2" t="inlineStr"/>
    </row>
    <row r="11">
      <c r="A11" s="2" t="inlineStr">
        <is>
          <t>COS-71.22-Q1</t>
        </is>
      </c>
      <c r="B11" s="2" t="inlineStr">
        <is>
          <t>Our foundation uses a listed color additive at a higher level to hide discoloration that develops as the product degrades. The color is listed for cosmetics. Is that covered by the listing?</t>
        </is>
      </c>
      <c r="C11" s="2" t="inlineStr">
        <is>
          <t>No. Under 71.22 a regulation authorizing a color additive generally in or on a cosmetic does not authorize its use in a manner that may promote deception or conceal damage or inferiority. Such use is considered a use for which no regulation has issued under section 721(b), even if a regulation covers other uses. 71.22 gives no compliance determination for a specific product.</t>
        </is>
      </c>
      <c r="D11" s="2" t="inlineStr">
        <is>
          <t>The generated answer could not be validated against the retrieved regulatory evidence, so it is not shown. The retrieved sources were not verified to answer the question as asked, so their text is not quoted as an answer. Sources consulted: 21 CFR 73.2329(a), 21 CFR 73.2329(a)(1), 21 CFR 73.2329(a)(2), 21 CFR 73.2329(a)(2)(i), 21 CFR 73.2329(a)(2)(ii) and 4 more.</t>
        </is>
      </c>
      <c r="E11" s="2" t="inlineStr">
        <is>
          <t>FAIL</t>
        </is>
      </c>
      <c r="F11" s="2" t="inlineStr">
        <is>
          <t>Withheld, and the sources consulted were 73.2329. It fails to say no under 71.22: a general listing does not authorize use that conceals damage or inferiority.</t>
        </is>
      </c>
      <c r="G11" s="3" t="n">
        <v>73.40000000000001</v>
      </c>
      <c r="H11" s="4" t="n">
        <v>1717</v>
      </c>
      <c r="I11" s="4" t="n">
        <v>671</v>
      </c>
      <c r="J11" s="2" t="inlineStr">
        <is>
          <t>mlx-community/Qwen3-4B-Instruct-2507-4bit (rev 50d42775)</t>
        </is>
      </c>
      <c r="K11" s="2" t="inlineStr">
        <is>
          <t>BAAI/bge-small-en-v1.5 (dense section candidates for promotion)</t>
        </is>
      </c>
      <c r="L11" s="2" t="inlineStr">
        <is>
          <t>SUCCESS</t>
        </is>
      </c>
      <c r="M11" s="2" t="inlineStr"/>
      <c r="N11" s="2" t="inlineStr">
        <is>
          <t>Expected CFR section(s) 71.22: none in evidence; none cited in answer. Evidence (9): 21 CFR 73.2329(a) [exact]; 21 CFR 73.2329(a)(1) [exact]; 21 CFR 73.2329(a)(2) [exact]; 21 CFR 73.2329(a)(2)(i) [exact]; 21 CFR 73.2329(a)(2)(ii) [exact]; 21 CFR 73.2329(b) [exact]; 21 CFR 73.2329(c) [exact]; 21 CFR 73.2329(d) [exact]; 21 CFR 70.3(s) [exact]. Query type None; semantic fallback not invoked.</t>
        </is>
      </c>
      <c r="O11" s="2" t="n">
        <v>10</v>
      </c>
      <c r="P11" s="2" t="inlineStr">
        <is>
          <t>71</t>
        </is>
      </c>
      <c r="Q11" s="2" t="inlineStr">
        <is>
          <t>Specific Requirement</t>
        </is>
      </c>
      <c r="R11" s="2" t="inlineStr">
        <is>
          <t>Advanced</t>
        </is>
      </c>
      <c r="S11" s="2" t="inlineStr">
        <is>
          <t>21 CFR 71.22</t>
        </is>
      </c>
      <c r="T11" s="2" t="n">
        <v>0</v>
      </c>
      <c r="U11" s="2" t="n">
        <v>0</v>
      </c>
      <c r="V11" s="2" t="n">
        <v>0</v>
      </c>
      <c r="W11" s="2" t="n">
        <v>0</v>
      </c>
      <c r="X11" s="2" t="n">
        <v>1</v>
      </c>
      <c r="Y11" s="2" t="inlineStr">
        <is>
          <t>Withheld by validator (no answer shown)</t>
        </is>
      </c>
      <c r="Z11" s="2" t="inlineStr">
        <is>
          <t>initial False [provision_citation_mismatch, unsupported_claim] -&gt; final False; repair applied; fallback unvalidated_answer_withheld</t>
        </is>
      </c>
      <c r="AA11" s="2" t="inlineStr"/>
      <c r="AB11" s="2" t="n"/>
      <c r="AC11" s="2" t="n"/>
      <c r="AD11" s="2" t="n"/>
      <c r="AE11" s="3" t="n"/>
      <c r="AF11" s="3" t="n"/>
      <c r="AG11" s="3" t="n"/>
      <c r="AH11" s="3" t="n"/>
      <c r="AI11" s="2" t="inlineStr"/>
    </row>
    <row r="12">
      <c r="A12" s="2" t="inlineStr">
        <is>
          <t>COS-71.30-Q1</t>
        </is>
      </c>
      <c r="B12" s="2" t="inlineStr">
        <is>
          <t>FDA just issued a color additive regulation that bars eye-area use of a pigment we rely on. How do we object or seek a hearing?</t>
        </is>
      </c>
      <c r="C12" s="2" t="inlineStr">
        <is>
          <t>Under 71.30(a), objections and hearings relating to color additive regulations under section 721(b) and (c) of the Act are governed by parts 10, 12, 13, 14, 15, 16 and 19 of chapter I. Under 71.30(b), the fees specified in § 70.19 apply. 71.30 itself sets no deadline or content; those come from the listed parts.</t>
        </is>
      </c>
      <c r="D12" s="2" t="inlineStr">
        <is>
          <t>The generated answer could not be validated against the retrieved regulatory evidence, so it is not shown. The retrieved sources were not verified to answer the question as asked, so their text is not quoted as an answer. Sources consulted: 21 CFR 71.30(a), 21 CFR 71.30(b).</t>
        </is>
      </c>
      <c r="E12" s="2" t="inlineStr">
        <is>
          <t>FAIL</t>
        </is>
      </c>
      <c r="F12" s="2" t="inlineStr">
        <is>
          <t>Withheld even though 71.30(a) and (b) were retrieved. It does not point to parts 10, 12-16 and 19 for objections and hearings, or to the 70.19 fees.</t>
        </is>
      </c>
      <c r="G12" s="3" t="n">
        <v>37.3</v>
      </c>
      <c r="H12" s="4" t="n">
        <v>918</v>
      </c>
      <c r="I12" s="4" t="n">
        <v>259</v>
      </c>
      <c r="J12" s="2" t="inlineStr">
        <is>
          <t>mlx-community/Qwen3-4B-Instruct-2507-4bit (rev 50d42775)</t>
        </is>
      </c>
      <c r="K12" s="2" t="inlineStr">
        <is>
          <t>BAAI/bge-small-en-v1.5 (dense section candidates for promotion)</t>
        </is>
      </c>
      <c r="L12" s="2" t="inlineStr">
        <is>
          <t>SUCCESS</t>
        </is>
      </c>
      <c r="M12" s="2" t="inlineStr"/>
      <c r="N12" s="2" t="inlineStr">
        <is>
          <t>Expected CFR section(s) 71.30: all in evidence; none cited in answer. Evidence (2): 21 CFR 71.30(a) [exact]; 21 CFR 71.30(b) [exact]. Query type None; semantic fallback not invoked.</t>
        </is>
      </c>
      <c r="O12" s="2" t="n">
        <v>11</v>
      </c>
      <c r="P12" s="2" t="inlineStr">
        <is>
          <t>71</t>
        </is>
      </c>
      <c r="Q12" s="2" t="inlineStr">
        <is>
          <t>How to Comply</t>
        </is>
      </c>
      <c r="R12" s="2" t="inlineStr">
        <is>
          <t>Intermediate</t>
        </is>
      </c>
      <c r="S12" s="2" t="inlineStr">
        <is>
          <t>21 CFR 71.30(a), (b)</t>
        </is>
      </c>
      <c r="T12" s="2" t="n">
        <v>0</v>
      </c>
      <c r="U12" s="2" t="n">
        <v>0</v>
      </c>
      <c r="V12" s="2" t="n">
        <v>0</v>
      </c>
      <c r="W12" s="2" t="n">
        <v>0</v>
      </c>
      <c r="X12" s="2" t="n">
        <v>1</v>
      </c>
      <c r="Y12" s="2" t="inlineStr">
        <is>
          <t>Withheld by validator (no answer shown)</t>
        </is>
      </c>
      <c r="Z12" s="2" t="inlineStr">
        <is>
          <t>initial False [provision_citation_mismatch, unsupported_claim] -&gt; final False; repair applied; fallback unvalidated_answer_withheld</t>
        </is>
      </c>
      <c r="AA12" s="2" t="inlineStr"/>
      <c r="AB12" s="2" t="n"/>
      <c r="AC12" s="2" t="n"/>
      <c r="AD12" s="2" t="n"/>
      <c r="AE12" s="3" t="n"/>
      <c r="AF12" s="3" t="n"/>
      <c r="AG12" s="3" t="n"/>
      <c r="AH12" s="3" t="n"/>
      <c r="AI12" s="2" t="inlineStr"/>
    </row>
    <row r="13">
      <c r="A13" s="2" t="inlineStr">
        <is>
          <t>COS-71.37-Q1</t>
        </is>
      </c>
      <c r="B13" s="2" t="inlineStr">
        <is>
          <t>We want to ship test mascaras containing an unlisted color additive to an outside safety lab. Is there an exemption, and what labeling and records are required?</t>
        </is>
      </c>
      <c r="C13" s="2" t="inlineStr">
        <is>
          <t>Under 71.37(a), shipments of a color additive, or a cosmetic containing it, for investigational use by experts qualified to investigate safety are exempt from sections 402(c), 501(a) and 601(e) if prominently labeled: "Caution—Contains new color additive—For investigational use only." Under (b), the shipper keeps records of the expert's name and post-office address, date, quantity, and batch or code mark for 2 years, available for inspection and copying on request.</t>
        </is>
      </c>
      <c r="D13" s="2" t="inlineStr">
        <is>
          <t>Yes, shipping test mascaras containing an unlisted color additive to an outside safety lab is permitted under an exemption, provided that the shipment meets specific labeling and recordkeeping requirements. The exemption applies only if the product bears a label stating prominently: “Caution—Contains new color additive—For investigational use only,” and the shipment is delivered by experts qualified to determine safety [1]. This exemption does not apply unless the conditions in §71.37(a) are met, including that no animals used in such investigations or their products (e.g., milk, eggs) shall be used for food purposes without prior authorization from the FDA based on public health data [1].
The labeling required is a prominently displayed statement: “Caution—Contains new color additive—For investigational use only” on the container of the mascara containing the unlisted color additive [1].
The person responsible for shipping or delivering the product must maintain adequate records that include the name and post-office address of the expert to whom the color additive is shipped, the date, quantity, and batch or code mark of each shipment or delivery, and these records must be kept for a period of 2 years after such shipment and delivery [2]. These records must be available for inspection and copying upon request by a properly authorized employee of the FDA at reasonable times [2].</t>
        </is>
      </c>
      <c r="E13" s="2" t="inlineStr">
        <is>
          <t>PASS</t>
        </is>
      </c>
      <c r="F13" s="2" t="inlineStr">
        <is>
          <t>Correct exemption label statement and correct 71.37(b) records (expert's name and address, date, quantity, batch or code mark, 2 years, available for inspection). Minor slips: 'delivered by experts' should be 'to experts', and the exempted sections 402(c), 501(a) and 601(e) are not named.</t>
        </is>
      </c>
      <c r="G13" s="3" t="n">
        <v>26.8</v>
      </c>
      <c r="H13" s="4" t="n">
        <v>1216</v>
      </c>
      <c r="I13" s="4" t="n">
        <v>270</v>
      </c>
      <c r="J13" s="2" t="inlineStr">
        <is>
          <t>mlx-community/Qwen3-4B-Instruct-2507-4bit (rev 50d42775)</t>
        </is>
      </c>
      <c r="K13" s="2" t="inlineStr">
        <is>
          <t>BAAI/bge-small-en-v1.5 (dense section candidates for promotion)</t>
        </is>
      </c>
      <c r="L13" s="2" t="inlineStr">
        <is>
          <t>SUCCESS</t>
        </is>
      </c>
      <c r="M13" s="2" t="inlineStr"/>
      <c r="N13" s="2" t="inlineStr">
        <is>
          <t>Expected CFR section(s) 71.37: all in evidence; cited in answer: 71.37. Evidence (2): 21 CFR 71.37(a) [exact]; 21 CFR 71.37(b) [exact]. Query type None; semantic fallback not invoked.</t>
        </is>
      </c>
      <c r="O13" s="2" t="n">
        <v>12</v>
      </c>
      <c r="P13" s="2" t="inlineStr">
        <is>
          <t>71</t>
        </is>
      </c>
      <c r="Q13" s="2" t="inlineStr">
        <is>
          <t>Exemption</t>
        </is>
      </c>
      <c r="R13" s="2" t="inlineStr">
        <is>
          <t>Intermediate</t>
        </is>
      </c>
      <c r="S13" s="2" t="inlineStr">
        <is>
          <t>21 CFR 71.37(a), (b)</t>
        </is>
      </c>
      <c r="T13" s="2" t="n">
        <v>1</v>
      </c>
      <c r="U13" s="2" t="n">
        <v>0</v>
      </c>
      <c r="V13" s="2" t="n">
        <v>2</v>
      </c>
      <c r="W13" s="2" t="n">
        <v>2</v>
      </c>
      <c r="X13" s="2" t="n">
        <v>1</v>
      </c>
      <c r="Y13" s="2" t="inlineStr">
        <is>
          <t>Generated answer</t>
        </is>
      </c>
      <c r="Z13" s="2" t="inlineStr">
        <is>
          <t>initial True -&gt; final True</t>
        </is>
      </c>
      <c r="AA13" s="2" t="inlineStr">
        <is>
          <t>[1] = 21 CFR 71.37(a); [2] = 21 CFR 71.37(b)</t>
        </is>
      </c>
      <c r="AB13" s="2" t="n"/>
      <c r="AC13" s="2" t="n"/>
      <c r="AD13" s="2" t="n"/>
      <c r="AE13" s="3" t="n"/>
      <c r="AF13" s="3" t="n"/>
      <c r="AG13" s="3" t="n"/>
      <c r="AH13" s="3" t="n"/>
      <c r="AI13" s="2" t="inlineStr"/>
    </row>
    <row r="14">
      <c r="A14" s="2" t="inlineStr">
        <is>
          <t>COS-73.2087-Q1</t>
        </is>
      </c>
      <c r="B14" s="2" t="inlineStr">
        <is>
          <t>We're launching a blush colored with carmine. May we use it, and does carmine need to be declared on the label?</t>
        </is>
      </c>
      <c r="C14" s="2" t="inlineStr">
        <is>
          <t>Yes. 73.2087(b) lists carmine for coloring cosmetics generally, including cosmetics intended for use in the area of the eye, in amounts consistent with good manufacturing practices. It must conform to § 73.100(a)(2) and (b)(2) ((a)). (c)(1): the additive and its color mixtures carry § 70.25 labeling. (c)(2): cosmetics not subject to § 701.3 declare carmine prominently and conspicuously at least once (e.g., "Contains carmine as a color additive"). (d): certification-exempt.</t>
        </is>
      </c>
      <c r="D14" s="2" t="inlineStr">
        <is>
          <t>Yes, carmine may be used in a blush product intended for use on the face, including areas near the eyes, as long as it is used in accordance with good manufacturing practices and does not violate any restrictions on use in the area of the eye. However, because the blush contains carmine and is intended for use in or near the area of the eye, labeling requirements apply. The use of carmine in a blush is permitted under 21 CFR 73.2087(b), which allows carmine to be safely used in cosmetics generally, including those intended for use in the area of the eye, provided good manufacturing practices are followed [2]. Additionally, because the product contains carmine and is not subject to the requirements of § 701.3, it must specifically declare the presence of carmine prominently and conspicuously at least once in the labeling, as required by 21 CFR 73.2087(c)(2) [5]. This requirement applies regardless of whether the product is intended for use on or near the eyes, since the term "area of the eye" includes the eyelids and surrounding skin [7].
21 CFR 70.3(s) defines the area of the eye as the region enclosed within the supra-orbital and infra-orbital ridges, including the eyebrow, skin below the eyebrow, eyelids, eyelashes, conjunctival sac, eyeball, and soft areolar tissue [7].
21 CFR 73.2087(a) requires that carmine conform in identity and specifications to the requirements of § 73.100(a)(2) and (b)(2) [1].
21 CFR 73.2087(b) permits the use of carmine in cosmetics generally, including those intended for use in the area of the eye, provided it is used in amounts consistent with good manufacturing practices [2].
21 CFR 73.2087(c) establishes labeling requirements for carmine-containing products [3].
21 CFR 73.2087(c)(1) requires that any color additive or mixture prepared therefrom intended solely or in part for coloring purposes shall bear labeling in accordance with the provisions of § 70.25 [4].
21 CFR 73.2087(c)(2) mandates that cosmetics containing carmine not subject to the requirements of § 701.3 must specifically declare the presence of carmine prominently and conspicuously at least once in the labeling, such as “Contains carmine as a color additive” [5].
21 CFR 73.2087(d) exempts batches of carmine from certification because certification is not necessary for public health protection [6].</t>
        </is>
      </c>
      <c r="E14" s="2" t="inlineStr">
        <is>
          <t>PARTIALLY FAIL</t>
        </is>
      </c>
      <c r="F14" s="2" t="inlineStr">
        <is>
          <t>Cites (a), (b), (c)(1), (c)(2), (d) and 70.3(s) correctly and covers every key element. But it misreads the labeling rule: it says labeling applies because the blush is used near the eye, then flatly states the user's blush is 'not subject to § 701.3'. That turns the (c)(2) condition into an unconditional claim, and a retail blush normally is subject to 701.3.</t>
        </is>
      </c>
      <c r="G14" s="3" t="n">
        <v>38.7</v>
      </c>
      <c r="H14" s="4" t="n">
        <v>1533</v>
      </c>
      <c r="I14" s="4" t="n">
        <v>576</v>
      </c>
      <c r="J14" s="2" t="inlineStr">
        <is>
          <t>mlx-community/Qwen3-4B-Instruct-2507-4bit (rev 50d42775)</t>
        </is>
      </c>
      <c r="K14" s="2" t="inlineStr">
        <is>
          <t>BAAI/bge-small-en-v1.5 (dense section candidates for promotion)</t>
        </is>
      </c>
      <c r="L14" s="2" t="inlineStr">
        <is>
          <t>SUCCESS</t>
        </is>
      </c>
      <c r="M14" s="2" t="inlineStr"/>
      <c r="N14" s="2" t="inlineStr">
        <is>
          <t>Expected CFR section(s) 73.2087: all in evidence; cited in answer: 73.2087. Evidence (7): 21 CFR 73.2087(a) [exact]; 21 CFR 73.2087(b) [exact]; 21 CFR 73.2087(c) [exact]; 21 CFR 73.2087(c)(1) [exact]; 21 CFR 73.2087(c)(2) [exact]; 21 CFR 73.2087(d) [exact]; 21 CFR 70.3(s) [exact]. Query type None; semantic fallback not invoked.</t>
        </is>
      </c>
      <c r="O14" s="2" t="n">
        <v>13</v>
      </c>
      <c r="P14" s="2" t="inlineStr">
        <is>
          <t>73</t>
        </is>
      </c>
      <c r="Q14" s="2" t="inlineStr">
        <is>
          <t>Specific Requirement</t>
        </is>
      </c>
      <c r="R14" s="2" t="inlineStr">
        <is>
          <t>Intermediate</t>
        </is>
      </c>
      <c r="S14" s="2" t="inlineStr">
        <is>
          <t>21 CFR 73.2087(a), (b), (c)(1), (c)(2), (d)</t>
        </is>
      </c>
      <c r="T14" s="2" t="n">
        <v>1</v>
      </c>
      <c r="U14" s="2" t="n">
        <v>0</v>
      </c>
      <c r="V14" s="2" t="n">
        <v>1</v>
      </c>
      <c r="W14" s="2" t="n">
        <v>2</v>
      </c>
      <c r="X14" s="2" t="n">
        <v>1</v>
      </c>
      <c r="Y14" s="2" t="inlineStr">
        <is>
          <t>Generated answer</t>
        </is>
      </c>
      <c r="Z14" s="2" t="inlineStr">
        <is>
          <t>initial True -&gt; final True</t>
        </is>
      </c>
      <c r="AA14" s="2" t="inlineStr">
        <is>
          <t>[2] = 21 CFR 73.2087(b); [5] = 21 CFR 73.2087(c)(2); [7] = 21 CFR 70.3(s); [1] = 21 CFR 73.2087(a); [3] = 21 CFR 73.2087(c); [4] = 21 CFR 73.2087(c)(1); [6] = 21 CFR 73.2087(d)</t>
        </is>
      </c>
      <c r="AB14" s="2" t="n"/>
      <c r="AC14" s="2" t="n"/>
      <c r="AD14" s="2" t="n"/>
      <c r="AE14" s="3" t="n"/>
      <c r="AF14" s="3" t="n"/>
      <c r="AG14" s="3" t="n"/>
      <c r="AH14" s="3" t="n"/>
      <c r="AI14" s="2" t="inlineStr"/>
    </row>
    <row r="15">
      <c r="A15" s="2" t="inlineStr">
        <is>
          <t>COS-73.2110-Q1</t>
        </is>
      </c>
      <c r="B15" s="2" t="inlineStr">
        <is>
          <t>We make a progressive hair-color cream for men's gray hair using bismuth citrate. What are the use limits, warnings, and certification status?</t>
        </is>
      </c>
      <c r="C15" s="2" t="inlineStr">
        <is>
          <t>73.2110(c): permitted in cosmetics for coloring hair on the scalp, (1) at not more than 2.0 percent (w/v), and (2) not for coloring eyelashes, eyebrows, or body hair other than the scalp. (d)(1): additive label meets § 70.25; (d)(2): cosmetic label bears a conspicuous warning beginning "Keep this product out of children's reach", covering cut/abraded scalp, eyelashes/eyebrows/body hair, and handwashing. (e): exempt from certification.</t>
        </is>
      </c>
      <c r="D15" s="2" t="inlineStr">
        <is>
          <t>The use of bismuth citrate in a progressive hair-color cream for men's gray hair is permitted, limited to not more than 2.0 percent (w/v) of bismuth citrate in the cosmetic, and only for coloring hair on the scalp. The product may not be used on eyelashes, eyebrows, or body hair; it must not be applied to a cut or abraded scalp; and hands must be washed thoroughly after each use. The label must include the statement "Keep this product out of children's reach" and other warnings as specified. Certification for this color additive is exempt under the provisions of section 721(c) of the act, meaning no certification is required.
The amount of bismuth citrate in the cosmetic shall not be in excess of 2.0 percent (w/v) [5].  
The cosmetic may not be used for coloring eyelashes, eyebrows, or hair on parts of the body other than the scalp [6].  
The label of a cosmetic containing the color additive bismuth citrate shall bear, in addition to other information required by law, the following statement, conspicuously displayed thereon: "Keep this product out of children's reach. Do not use on cut or abraded scalp. Do not use to color eyelashes, eyebrows, or hair on parts of the body other than the scalp. Wash hands thoroughly after each use" [10].  
Certification of this color additive for the prescribed use is exempt from certification requirements under section 721(c) of the act [11].</t>
        </is>
      </c>
      <c r="E15" s="2" t="inlineStr">
        <is>
          <t>PARTIALLY PASS</t>
        </is>
      </c>
      <c r="F15" s="2" t="inlineStr">
        <is>
          <t>Correct on the 2.0% (w/v) cap, scalp-only use ((c)(1)-(2)), the full (d)(2) warning text and the (e) certification exemption. It leaves out (d)(1), the § 70.25 labeling requirement for the additive, which is a key element.</t>
        </is>
      </c>
      <c r="G15" s="3" t="n">
        <v>31.8</v>
      </c>
      <c r="H15" s="4" t="n">
        <v>1903</v>
      </c>
      <c r="I15" s="4" t="n">
        <v>325</v>
      </c>
      <c r="J15" s="2" t="inlineStr">
        <is>
          <t>mlx-community/Qwen3-4B-Instruct-2507-4bit (rev 50d42775)</t>
        </is>
      </c>
      <c r="K15" s="2" t="inlineStr">
        <is>
          <t>BAAI/bge-small-en-v1.5 (dense section candidates for promotion)</t>
        </is>
      </c>
      <c r="L15" s="2" t="inlineStr">
        <is>
          <t>SUCCESS</t>
        </is>
      </c>
      <c r="M15" s="2" t="inlineStr"/>
      <c r="N15" s="2" t="inlineStr">
        <is>
          <t>Expected CFR section(s) 73.2110: all in evidence; cited in answer: 73.2110. Evidence (11): 21 CFR 73.2110(a) [exact]; 21 CFR 73.2110(b) [exact]; 21 CFR 73.2110(b) [exact]; 21 CFR 73.2110(c) [exact]; 21 CFR 73.2110(c)(1) [exact]; 21 CFR 73.2110(c)(2) [exact]; 21 CFR 73.2110(d) [exact]; 21 CFR 73.2110(d)(1) [exact]; 21 CFR 73.2110(d)(2) [exact]; 21 CFR 73.2110(d)(2) [exact]; 21 CFR 73.2110(e) [exact]. Query type None; semantic fallback not invoked.</t>
        </is>
      </c>
      <c r="O15" s="2" t="n">
        <v>14</v>
      </c>
      <c r="P15" s="2" t="inlineStr">
        <is>
          <t>73</t>
        </is>
      </c>
      <c r="Q15" s="2" t="inlineStr">
        <is>
          <t>Specific Requirement</t>
        </is>
      </c>
      <c r="R15" s="2" t="inlineStr">
        <is>
          <t>Intermediate</t>
        </is>
      </c>
      <c r="S15" s="2" t="inlineStr">
        <is>
          <t>21 CFR 73.2110(c)(1)-(2), (d)(1)-(2), (e)</t>
        </is>
      </c>
      <c r="T15" s="2" t="n">
        <v>1</v>
      </c>
      <c r="U15" s="2" t="n">
        <v>0</v>
      </c>
      <c r="V15" s="2" t="n">
        <v>2</v>
      </c>
      <c r="W15" s="2" t="n">
        <v>1</v>
      </c>
      <c r="X15" s="2" t="n">
        <v>1</v>
      </c>
      <c r="Y15" s="2" t="inlineStr">
        <is>
          <t>Generated answer</t>
        </is>
      </c>
      <c r="Z15" s="2" t="inlineStr">
        <is>
          <t>initial True -&gt; final True</t>
        </is>
      </c>
      <c r="AA15" s="2" t="inlineStr">
        <is>
          <t>[5] = 21 CFR 73.2110(c)(1); [6] = 21 CFR 73.2110(c)(2); [10] = 21 CFR 73.2110(d)(2); [11] = 21 CFR 73.2110(e)</t>
        </is>
      </c>
      <c r="AB15" s="2" t="n"/>
      <c r="AC15" s="2" t="n"/>
      <c r="AD15" s="2" t="n"/>
      <c r="AE15" s="3" t="n"/>
      <c r="AF15" s="3" t="n"/>
      <c r="AG15" s="3" t="n"/>
      <c r="AH15" s="3" t="n"/>
      <c r="AI15" s="2" t="inlineStr"/>
    </row>
    <row r="16">
      <c r="A16" s="2" t="inlineStr">
        <is>
          <t>COS-73.2120-Q1</t>
        </is>
      </c>
      <c r="B16" s="2" t="inlineStr">
        <is>
          <t>Can we use disodium EDTA-copper to tint a body wash and a shampoo? What other requirements apply?</t>
        </is>
      </c>
      <c r="C16" s="2" t="inlineStr">
        <is>
          <t>73.2120(c) permits disodium EDTA-copper only for coloring shampoos which are cosmetics, in amounts consistent with good manufacturing practice; body wash is not a listed use. (d): labeling under § 70.25. (e): certification not necessary; batches exempt from section 721(c). The additive must meet the (b) specifications.</t>
        </is>
      </c>
      <c r="D16" s="2" t="inlineStr">
        <is>
          <t>The generated answer could not be validated against the retrieved regulatory evidence, so it is not shown. The retrieved sources were not verified to answer the question as asked, so their text is not quoted as an answer. Sources consulted: 21 CFR 73.2120(a), 21 CFR 73.2120(b), 21 CFR 73.2120(c), 21 CFR 73.2120(d), 21 CFR 73.2120(e).</t>
        </is>
      </c>
      <c r="E16" s="2" t="inlineStr">
        <is>
          <t>FAIL</t>
        </is>
      </c>
      <c r="F16" s="2" t="inlineStr">
        <is>
          <t>Answer was withheld and gives no substance. It never says the additive is permitted only in shampoos and not in body wash, and gives none of the (d)/(e) requirements.</t>
        </is>
      </c>
      <c r="G16" s="3" t="n">
        <v>55.2</v>
      </c>
      <c r="H16" s="4" t="n">
        <v>1432</v>
      </c>
      <c r="I16" s="4" t="n">
        <v>452</v>
      </c>
      <c r="J16" s="2" t="inlineStr">
        <is>
          <t>mlx-community/Qwen3-4B-Instruct-2507-4bit (rev 50d42775)</t>
        </is>
      </c>
      <c r="K16" s="2" t="inlineStr">
        <is>
          <t>BAAI/bge-small-en-v1.5 (dense section candidates for promotion)</t>
        </is>
      </c>
      <c r="L16" s="2" t="inlineStr">
        <is>
          <t>SUCCESS</t>
        </is>
      </c>
      <c r="M16" s="2" t="inlineStr"/>
      <c r="N16" s="2" t="inlineStr">
        <is>
          <t>Expected CFR section(s) 73.2120: all in evidence; none cited in answer. Evidence (6): 21 CFR 73.2120(a) [exact]; 21 CFR 73.2120(b) [exact]; 21 CFR 73.2120(b) [exact]; 21 CFR 73.2120(c) [exact]; 21 CFR 73.2120(d) [exact]; 21 CFR 73.2120(e) [exact]. Query type None; semantic fallback not invoked.</t>
        </is>
      </c>
      <c r="O16" s="2" t="n">
        <v>15</v>
      </c>
      <c r="P16" s="2" t="inlineStr">
        <is>
          <t>73</t>
        </is>
      </c>
      <c r="Q16" s="2" t="inlineStr">
        <is>
          <t>Applicability</t>
        </is>
      </c>
      <c r="R16" s="2" t="inlineStr">
        <is>
          <t>Basic</t>
        </is>
      </c>
      <c r="S16" s="2" t="inlineStr">
        <is>
          <t>21 CFR 73.2120(c), (d), (e)</t>
        </is>
      </c>
      <c r="T16" s="2" t="n">
        <v>0</v>
      </c>
      <c r="U16" s="2" t="n">
        <v>0</v>
      </c>
      <c r="V16" s="2" t="n">
        <v>0</v>
      </c>
      <c r="W16" s="2" t="n">
        <v>0</v>
      </c>
      <c r="X16" s="2" t="n">
        <v>1</v>
      </c>
      <c r="Y16" s="2" t="inlineStr">
        <is>
          <t>Withheld by validator (no answer shown)</t>
        </is>
      </c>
      <c r="Z16" s="2" t="inlineStr">
        <is>
          <t>initial False [unsupported_claim] -&gt; final False; repair applied; fallback unvalidated_answer_withheld</t>
        </is>
      </c>
      <c r="AA16" s="2" t="inlineStr"/>
      <c r="AB16" s="2" t="n"/>
      <c r="AC16" s="2" t="n"/>
      <c r="AD16" s="2" t="n"/>
      <c r="AE16" s="3" t="n"/>
      <c r="AF16" s="3" t="n"/>
      <c r="AG16" s="3" t="n"/>
      <c r="AH16" s="3" t="n"/>
      <c r="AI16" s="2" t="inlineStr"/>
    </row>
    <row r="17">
      <c r="A17" s="2" t="inlineStr">
        <is>
          <t>COS-73.2150-Q1</t>
        </is>
      </c>
      <c r="B17" s="2" t="inlineStr">
        <is>
          <t>We're developing a self-tanning lotion and want to use dihydroxyacetone as the colorant. May we, and what restrictions, certification or labeling apply?</t>
        </is>
      </c>
      <c r="C17" s="2" t="inlineStr">
        <is>
          <t>Yes. 73.2150(b) lists dihydroxyacetone for coloring externally applied cosmetics intended solely or in part to impart a color to the human body, in amounts consistent with good manufacturing practice (no numeric cap). It must conform in identity and specifications to § 73.1150(a)(1) and (b) ((a)). The additive and its color mixtures bear § 70.25 labeling ((c)). Batches are exempt from section 721(c) certification ((d)).</t>
        </is>
      </c>
      <c r="D17" s="2" t="inlineStr">
        <is>
          <t>Lotion: permitted.
21 CFR 73.2150(b) states: "Dihydroxyacetone may be safely used in amounts consistent with good manufacturing practice in externally applied cosmetics intended solely or in part to impart a color to the human body." [2].
Use limit: no percentage is stated; the amount is consistent with good manufacturing practice [2].
21 CFR 73.2150(a) states: "The color additive dihydroxyacetone shall conform in identity and specifications to the requirements of § 73.1150 (a)(1) and (b)." [1].
21 CFR 73.2150(c) states: "The labeling of the color additive and any mixtures prepared therefrom intended solely or in part for coloring purposes shall conform to the requirements of § 70.25 of this chapter." [3].
21 CFR 73.2150(d) states: "Certification of this color additive is not necessary for the protection of the public health and therefore batches thereof are exempt from the requirements of section 721(c) of the act." [4].
21 CFR 70.3(v) states: "The terms externally applied drugs and externally applied cosmetics mean drugs or cosmetics applied only to external parts of the body and not to the lips or any body surface covered by mucous membrane." [5].</t>
        </is>
      </c>
      <c r="E17" s="2" t="inlineStr">
        <is>
          <t>PASS</t>
        </is>
      </c>
      <c r="F17" s="2" t="inlineStr">
        <is>
          <t>Says the use is permitted and that there is no numeric cap (GMP only). Correctly cites and quotes (a) conformance to 73.1150(a)(1) and (b), (b) externally applied cosmetics only (70.3(v) defines the term), (c) § 70.25 labeling and (d) the exemption. All key elements are present.</t>
        </is>
      </c>
      <c r="G17" s="3" t="n">
        <v>13.2</v>
      </c>
      <c r="H17" s="4" t="n"/>
      <c r="I17" s="4" t="n"/>
      <c r="J17" s="2" t="inlineStr">
        <is>
          <t>mlx-community/Qwen3-4B-Instruct-2507-4bit (rev 50d42775)</t>
        </is>
      </c>
      <c r="K17" s="2" t="inlineStr">
        <is>
          <t>BAAI/bge-small-en-v1.5 (dense section candidates for promotion)</t>
        </is>
      </c>
      <c r="L17" s="2" t="inlineStr">
        <is>
          <t>SUCCESS</t>
        </is>
      </c>
      <c r="M17" s="2" t="inlineStr"/>
      <c r="N17" s="2" t="inlineStr">
        <is>
          <t>Expected CFR section(s) 73.2150: all in evidence; cited in answer: 73.2150. Evidence (5): 21 CFR 73.2150(a) [exact]; 21 CFR 73.2150(b) [exact]; 21 CFR 73.2150(c) [exact]; 21 CFR 73.2150(d) [exact]; 21 CFR 70.3(v) [exact]. Query type None; semantic fallback not invoked.</t>
        </is>
      </c>
      <c r="O17" s="2" t="n">
        <v>16</v>
      </c>
      <c r="P17" s="2" t="inlineStr">
        <is>
          <t>73</t>
        </is>
      </c>
      <c r="Q17" s="2" t="inlineStr">
        <is>
          <t>Applicability</t>
        </is>
      </c>
      <c r="R17" s="2" t="inlineStr">
        <is>
          <t>Basic</t>
        </is>
      </c>
      <c r="S17" s="2" t="inlineStr">
        <is>
          <t>21 CFR 73.2150(a), (b), (c), (d)</t>
        </is>
      </c>
      <c r="T17" s="2" t="n">
        <v>1</v>
      </c>
      <c r="U17" s="2" t="n">
        <v>0</v>
      </c>
      <c r="V17" s="2" t="n">
        <v>2</v>
      </c>
      <c r="W17" s="2" t="n">
        <v>2</v>
      </c>
      <c r="X17" s="2" t="n">
        <v>1</v>
      </c>
      <c r="Y17" s="2" t="inlineStr">
        <is>
          <t>Fallback: composed_from_listing</t>
        </is>
      </c>
      <c r="Z17" s="2" t="inlineStr">
        <is>
          <t>initial True -&gt; final True; fallback composed_from_listing</t>
        </is>
      </c>
      <c r="AA17" s="2" t="inlineStr">
        <is>
          <t>[2] = 21 CFR 73.2150(b); [1] = 21 CFR 73.2150(a); [3] = 21 CFR 73.2150(c); [4] = 21 CFR 73.2150(d); [5] = 21 CFR 70.3(v)</t>
        </is>
      </c>
      <c r="AB17" s="2" t="n"/>
      <c r="AC17" s="2" t="n"/>
      <c r="AD17" s="2" t="n"/>
      <c r="AE17" s="3" t="n"/>
      <c r="AF17" s="3" t="n"/>
      <c r="AG17" s="3" t="n"/>
      <c r="AH17" s="3" t="n"/>
      <c r="AI17" s="2" t="inlineStr">
        <is>
          <t>input tokens not reported (model not called); output tokens not reported (model not called)</t>
        </is>
      </c>
    </row>
    <row r="18">
      <c r="A18" s="2" t="inlineStr">
        <is>
          <t>COS-73.2162-Q1</t>
        </is>
      </c>
      <c r="B18" s="2" t="inlineStr">
        <is>
          <t>We're developing a pearlescent eye shadow and want to use bismuth oxychloride as the colorant. May we, and what restrictions, certification or labeling apply?</t>
        </is>
      </c>
      <c r="C18" s="2" t="inlineStr">
        <is>
          <t>Yes. 73.2162(b) lists bismuth oxychloride for coloring cosmetics generally, including cosmetics intended for use in the area of the eye, in amounts consistent with good manufacturing practice (no numeric cap). It must conform in identity and specifications to § 73.1162(a)(1) and (b) ((a)(1)). The additive and its color mixtures bear § 70.25 labeling ((c)). Batches are exempt from section 721(c) certification ((d)).</t>
        </is>
      </c>
      <c r="D18" s="2" t="inlineStr">
        <is>
          <t>Eye shadow: permitted.
21 CFR 73.2162(b) states: "The color additive bismuth oxychloride may be safely used in coloring cosmetics generally, including cosmetics intended for use in the area of the eye, in amounts consistent with good manufacturing practice." [6].
Use limit: no percentage is stated; the amount is consistent with good manufacturing practice [6].
21 CFR 73.2162(a) states: "Identity and specifications." [1].
21 CFR 73.2162(a)(1) states: "The color additive bismuth oxychloride shall conform in identity and specifications to the requirements of § 73.1162(a)(1) and (b)." [2].
21 CFR 73.2162(a)(2) states: "Color additive mixtures of bismuth oxychloride may contain the following diluents:" [3].
21 CFR 73.2162(a)(2)(i) states: "For coloring cosmetics generally, only those diluents listed under § 73.1001(a)(1);" [4].
21 CFR 73.2162(a)(2)(ii) states: "For coloring externally applied cosmetics, only those diluents listed in § 73.1001(b) and, in addition, nitrocellulose." [5].
21 CFR 73.2162(c) states: "The color additive and any mixture prepared therefrom intended solely or in part for coloring purposes shall bear, in addition to any information required by law, labeling in accordance with the provisions of § 70.25 of this chapter." [7].
21 CFR 73.2162(d) states: "Certification of this color additive is not necessary for the protection of the public health, and therefore batches thereof are exempt from certification pursuant to section 721(c) of the act." [8].
21 CFR 70.3(s) states: "The term area of the eye means the area enclosed with in the circumference of the supra-orbital ridge and the infra-orbital ridge, including the eyebrow, the skin below the eyebrow, the eyelids and the eyelashes, and conjunctival sac of the eye, the eyeball, and the soft areolar tissue that lies within the perimeter of the infra-orbital ridge." [9].</t>
        </is>
      </c>
      <c r="E18" s="2" t="inlineStr">
        <is>
          <t>PASS</t>
        </is>
      </c>
      <c r="F18" s="2" t="inlineStr">
        <is>
          <t>Says the use is permitted for eye shadow under (b) (cosmetics generally, eye area included, GMP, no cap). Gives (a)(1) conformance to 73.1162(a)(1) and (b), the accurate (a)(2) diluent limits, (c) § 70.25 labeling and (d) the exemption. Matches the key.</t>
        </is>
      </c>
      <c r="G18" s="3" t="n">
        <v>13.5</v>
      </c>
      <c r="H18" s="4" t="n"/>
      <c r="I18" s="4" t="n"/>
      <c r="J18" s="2" t="inlineStr">
        <is>
          <t>mlx-community/Qwen3-4B-Instruct-2507-4bit (rev 50d42775)</t>
        </is>
      </c>
      <c r="K18" s="2" t="inlineStr">
        <is>
          <t>BAAI/bge-small-en-v1.5 (dense section candidates for promotion)</t>
        </is>
      </c>
      <c r="L18" s="2" t="inlineStr">
        <is>
          <t>SUCCESS</t>
        </is>
      </c>
      <c r="M18" s="2" t="inlineStr"/>
      <c r="N18" s="2" t="inlineStr">
        <is>
          <t>Expected CFR section(s) 73.2162: all in evidence; cited in answer: 73.2162. Evidence (9): 21 CFR 73.2162(a) [exact]; 21 CFR 73.2162(a)(1) [exact]; 21 CFR 73.2162(a)(2) [exact]; 21 CFR 73.2162(a)(2)(i) [exact]; 21 CFR 73.2162(a)(2)(ii) [exact]; 21 CFR 73.2162(b) [exact]; 21 CFR 73.2162(c) [exact]; 21 CFR 73.2162(d) [exact]; 21 CFR 70.3(s) [exact]. Query type None; semantic fallback not invoked.</t>
        </is>
      </c>
      <c r="O18" s="2" t="n">
        <v>17</v>
      </c>
      <c r="P18" s="2" t="inlineStr">
        <is>
          <t>73</t>
        </is>
      </c>
      <c r="Q18" s="2" t="inlineStr">
        <is>
          <t>Applicability</t>
        </is>
      </c>
      <c r="R18" s="2" t="inlineStr">
        <is>
          <t>Basic</t>
        </is>
      </c>
      <c r="S18" s="2" t="inlineStr">
        <is>
          <t>21 CFR 73.2162(a)(1), (b), (c), (d)</t>
        </is>
      </c>
      <c r="T18" s="2" t="n">
        <v>1</v>
      </c>
      <c r="U18" s="2" t="n">
        <v>0</v>
      </c>
      <c r="V18" s="2" t="n">
        <v>2</v>
      </c>
      <c r="W18" s="2" t="n">
        <v>2</v>
      </c>
      <c r="X18" s="2" t="n">
        <v>1</v>
      </c>
      <c r="Y18" s="2" t="inlineStr">
        <is>
          <t>Fallback: composed_from_listing</t>
        </is>
      </c>
      <c r="Z18" s="2" t="inlineStr">
        <is>
          <t>initial True -&gt; final True; fallback composed_from_listing</t>
        </is>
      </c>
      <c r="AA18" s="2" t="inlineStr">
        <is>
          <t>[6] = 21 CFR 73.2162(b); [1] = 21 CFR 73.2162(a); [2] = 21 CFR 73.2162(a)(1); [3] = 21 CFR 73.2162(a)(2); [4] = 21 CFR 73.2162(a)(2)(i); [5] = 21 CFR 73.2162(a)(2)(ii); [7] = 21 CFR 73.2162(c); [8] = 21 CFR 73.2162(d); [9] = 21 CFR 70.3(s)</t>
        </is>
      </c>
      <c r="AB18" s="2" t="n"/>
      <c r="AC18" s="2" t="n"/>
      <c r="AD18" s="2" t="n"/>
      <c r="AE18" s="3" t="n"/>
      <c r="AF18" s="3" t="n"/>
      <c r="AG18" s="3" t="n"/>
      <c r="AH18" s="3" t="n"/>
      <c r="AI18" s="2" t="inlineStr">
        <is>
          <t>input tokens not reported (model not called); output tokens not reported (model not called)</t>
        </is>
      </c>
    </row>
    <row r="19">
      <c r="A19" s="2" t="inlineStr">
        <is>
          <t>COS-73.2299-Q1</t>
        </is>
      </c>
      <c r="B19" s="2" t="inlineStr">
        <is>
          <t>We're developing a blue eye shadow and want to use ferric ferrocyanide as the colorant. May we, and what restrictions, certification or labeling apply?</t>
        </is>
      </c>
      <c r="C19" s="2" t="inlineStr">
        <is>
          <t>Yes. 73.2299(b) lists ferric ferrocyanide for coloring externally applied cosmetics, including cosmetics intended for use in the area of the eye, in amounts consistent with good manufacturing practice (no numeric cap). It must conform in identity and specifications to § 73.1299(a)(1) and (b) ((a)). The additive and its color mixtures bear § 70.25 labeling ((c)). Batches are exempt from section 721(c) certification ((d)).</t>
        </is>
      </c>
      <c r="D19" s="2" t="inlineStr">
        <is>
          <t>Eye shadow: permitted.
21 CFR 73.2299(b) states: "Ferric ferrocyanide is safe for use in coloring externally applied cosmetics, including cosmetics applied to the area of the eye, in amounts consistent with good manufacturing practice." [2].
Use limit: no percentage is stated; the amount is consistent with good manufacturing practice [2].
21 CFR 73.2299(a) states: "The color additive ferric ferrocyanide shall conform in identity and specifications to the requirements of § 73.1299(a)(1) and (b)." [1].
21 CFR 73.2299(c) states: "The color additive and any mixture prepared therefrom intended solely or in part for coloring purposes shall bear, in addition to any information required by law, labeling in accordance with § 70.25 of this chapter." [3].
21 CFR 73.2299(d) states: "Certification of this color additive is not necessary for the protection of the public health, and therefore batches thereof are exempt from certification under section 721(c) of the act." [4].
21 CFR 70.3(s) states: "The term area of the eye means the area enclosed with in the circumference of the supra-orbital ridge and the infra-orbital ridge, including the eyebrow, the skin below the eyebrow, the eyelids and the eyelashes, and conjunctival sac of the eye, the eyeball, and the soft areolar tissue that lies within the perimeter of the infra-orbital ridge." [5].
21 CFR 70.3(v) states: "The terms externally applied drugs and externally applied cosmetics mean drugs or cosmetics applied only to external parts of the body and not to the lips or any body surface covered by mucous membrane." [6].</t>
        </is>
      </c>
      <c r="E19" s="2" t="inlineStr">
        <is>
          <t>PASS</t>
        </is>
      </c>
      <c r="F19" s="2" t="inlineStr">
        <is>
          <t>Says the use is permitted under (b) (externally applied cosmetics, eye area included, GMP, no cap). Gives (a) conformance to 73.1299(a)(1) and (b), (c) § 70.25 labeling and (d) the exemption, with correct definitions. Matches the key.</t>
        </is>
      </c>
      <c r="G19" s="3" t="n">
        <v>13.2</v>
      </c>
      <c r="H19" s="4" t="n"/>
      <c r="I19" s="4" t="n"/>
      <c r="J19" s="2" t="inlineStr">
        <is>
          <t>mlx-community/Qwen3-4B-Instruct-2507-4bit (rev 50d42775)</t>
        </is>
      </c>
      <c r="K19" s="2" t="inlineStr">
        <is>
          <t>BAAI/bge-small-en-v1.5 (dense section candidates for promotion)</t>
        </is>
      </c>
      <c r="L19" s="2" t="inlineStr">
        <is>
          <t>SUCCESS</t>
        </is>
      </c>
      <c r="M19" s="2" t="inlineStr"/>
      <c r="N19" s="2" t="inlineStr">
        <is>
          <t>Expected CFR section(s) 73.2299: all in evidence; cited in answer: 73.2299. Evidence (6): 21 CFR 73.2299(a) [exact]; 21 CFR 73.2299(b) [exact]; 21 CFR 73.2299(c) [exact]; 21 CFR 73.2299(d) [exact]; 21 CFR 70.3(s) [exact]; 21 CFR 70.3(v) [exact]. Query type None; semantic fallback not invoked.</t>
        </is>
      </c>
      <c r="O19" s="2" t="n">
        <v>18</v>
      </c>
      <c r="P19" s="2" t="inlineStr">
        <is>
          <t>73</t>
        </is>
      </c>
      <c r="Q19" s="2" t="inlineStr">
        <is>
          <t>Applicability</t>
        </is>
      </c>
      <c r="R19" s="2" t="inlineStr">
        <is>
          <t>Basic</t>
        </is>
      </c>
      <c r="S19" s="2" t="inlineStr">
        <is>
          <t>21 CFR 73.2299(a), (b), (c), (d)</t>
        </is>
      </c>
      <c r="T19" s="2" t="n">
        <v>1</v>
      </c>
      <c r="U19" s="2" t="n">
        <v>0</v>
      </c>
      <c r="V19" s="2" t="n">
        <v>2</v>
      </c>
      <c r="W19" s="2" t="n">
        <v>2</v>
      </c>
      <c r="X19" s="2" t="n">
        <v>1</v>
      </c>
      <c r="Y19" s="2" t="inlineStr">
        <is>
          <t>Fallback: composed_from_listing</t>
        </is>
      </c>
      <c r="Z19" s="2" t="inlineStr">
        <is>
          <t>initial True -&gt; final True; fallback composed_from_listing</t>
        </is>
      </c>
      <c r="AA19" s="2" t="inlineStr">
        <is>
          <t>[2] = 21 CFR 73.2299(b); [1] = 21 CFR 73.2299(a); [3] = 21 CFR 73.2299(c); [4] = 21 CFR 73.2299(d); [5] = 21 CFR 70.3(s); [6] = 21 CFR 70.3(v)</t>
        </is>
      </c>
      <c r="AB19" s="2" t="n"/>
      <c r="AC19" s="2" t="n"/>
      <c r="AD19" s="2" t="n"/>
      <c r="AE19" s="3" t="n"/>
      <c r="AF19" s="3" t="n"/>
      <c r="AG19" s="3" t="n"/>
      <c r="AH19" s="3" t="n"/>
      <c r="AI19" s="2" t="inlineStr">
        <is>
          <t>input tokens not reported (model not called); output tokens not reported (model not called)</t>
        </is>
      </c>
    </row>
    <row r="20">
      <c r="A20" s="2" t="inlineStr">
        <is>
          <t>COS-73.2326-Q1</t>
        </is>
      </c>
      <c r="B20" s="2" t="inlineStr">
        <is>
          <t>We're developing a green eye pencil and want to use chromium hydroxide green as the colorant. May we, and what restrictions, certification or labeling apply?</t>
        </is>
      </c>
      <c r="C20" s="2" t="inlineStr">
        <is>
          <t>Yes. 73.2326(b) lists chromium hydroxide green for coloring externally applied cosmetics, including cosmetics intended for use in the area of the eye, in amounts consistent with good manufacturing practice (no numeric cap). It must conform in identity and specifications to § 73.1326(a)(1) and (b) ((a)). The additive and its color mixtures bear § 70.25 labeling ((c)). Batches are exempt from section 721(c) certification ((d)).</t>
        </is>
      </c>
      <c r="D20" s="2" t="inlineStr">
        <is>
          <t>Eye pencil: permitted.
21 CFR 73.2326(b) states: "Chromium hydroxide green is safe for use in coloring externally applied cosmetics, including those intended for use in the area of the eye, in amounts consistent with good manufacturing practice." [2].
Use limit: no percentage is stated; the amount is consistent with good manufacturing practice [2].
21 CFR 73.2326(a) states: "The color additive chromium hydroxide green shall conform in identity and specifications to the requirements of § 73.1326 (a)(1) and (b)." [1].
21 CFR 73.2326(c) states: "The color additive and any mixture prepared therefrom intended solely or in part for coloring purposes shall bear, in addition to any information required by law, labeling in accordance with § 70.25 of this chapter." [3].
21 CFR 73.2326(d) states: "Certification of this color additive is not necessary for the protection of the public health, and therefore batches thereof are exempt from certification pursuant to section 721(c) of the act." [4].
21 CFR 70.3(s) states: "The term area of the eye means the area enclosed with in the circumference of the supra-orbital ridge and the infra-orbital ridge, including the eyebrow, the skin below the eyebrow, the eyelids and the eyelashes, and conjunctival sac of the eye, the eyeball, and the soft areolar tissue that lies within the perimeter of the infra-orbital ridge." [5].
21 CFR 70.3(v) states: "The terms externally applied drugs and externally applied cosmetics mean drugs or cosmetics applied only to external parts of the body and not to the lips or any body surface covered by mucous membrane." [6].</t>
        </is>
      </c>
      <c r="E20" s="2" t="inlineStr">
        <is>
          <t>PASS</t>
        </is>
      </c>
      <c r="F20" s="2" t="inlineStr">
        <is>
          <t>Says the use is permitted for an eye pencil under (b) (externally applied cosmetics, eye area included, GMP, no cap). Gives (a) conformance to 73.1326(a)(1) and (b), (c) § 70.25 labeling and (d) the exemption. Matches the key.</t>
        </is>
      </c>
      <c r="G20" s="3" t="n">
        <v>13.6</v>
      </c>
      <c r="H20" s="4" t="n"/>
      <c r="I20" s="4" t="n"/>
      <c r="J20" s="2" t="inlineStr">
        <is>
          <t>mlx-community/Qwen3-4B-Instruct-2507-4bit (rev 50d42775)</t>
        </is>
      </c>
      <c r="K20" s="2" t="inlineStr">
        <is>
          <t>BAAI/bge-small-en-v1.5 (dense section candidates for promotion)</t>
        </is>
      </c>
      <c r="L20" s="2" t="inlineStr">
        <is>
          <t>SUCCESS</t>
        </is>
      </c>
      <c r="M20" s="2" t="inlineStr"/>
      <c r="N20" s="2" t="inlineStr">
        <is>
          <t>Expected CFR section(s) 73.2326: all in evidence; cited in answer: 73.2326. Evidence (6): 21 CFR 73.2326(a) [exact]; 21 CFR 73.2326(b) [exact]; 21 CFR 73.2326(c) [exact]; 21 CFR 73.2326(d) [exact]; 21 CFR 70.3(s) [exact]; 21 CFR 70.3(v) [exact]. Query type None; semantic fallback not invoked.</t>
        </is>
      </c>
      <c r="O20" s="2" t="n">
        <v>19</v>
      </c>
      <c r="P20" s="2" t="inlineStr">
        <is>
          <t>73</t>
        </is>
      </c>
      <c r="Q20" s="2" t="inlineStr">
        <is>
          <t>Applicability</t>
        </is>
      </c>
      <c r="R20" s="2" t="inlineStr">
        <is>
          <t>Basic</t>
        </is>
      </c>
      <c r="S20" s="2" t="inlineStr">
        <is>
          <t>21 CFR 73.2326(a), (b), (c), (d)</t>
        </is>
      </c>
      <c r="T20" s="2" t="n">
        <v>1</v>
      </c>
      <c r="U20" s="2" t="n">
        <v>0</v>
      </c>
      <c r="V20" s="2" t="n">
        <v>2</v>
      </c>
      <c r="W20" s="2" t="n">
        <v>2</v>
      </c>
      <c r="X20" s="2" t="n">
        <v>1</v>
      </c>
      <c r="Y20" s="2" t="inlineStr">
        <is>
          <t>Fallback: composed_from_listing</t>
        </is>
      </c>
      <c r="Z20" s="2" t="inlineStr">
        <is>
          <t>initial True -&gt; final True; fallback composed_from_listing</t>
        </is>
      </c>
      <c r="AA20" s="2" t="inlineStr">
        <is>
          <t>[2] = 21 CFR 73.2326(b); [1] = 21 CFR 73.2326(a); [3] = 21 CFR 73.2326(c); [4] = 21 CFR 73.2326(d); [5] = 21 CFR 70.3(s); [6] = 21 CFR 70.3(v)</t>
        </is>
      </c>
      <c r="AB20" s="2" t="n"/>
      <c r="AC20" s="2" t="n"/>
      <c r="AD20" s="2" t="n"/>
      <c r="AE20" s="3" t="n"/>
      <c r="AF20" s="3" t="n"/>
      <c r="AG20" s="3" t="n"/>
      <c r="AH20" s="3" t="n"/>
      <c r="AI20" s="2" t="inlineStr">
        <is>
          <t>input tokens not reported (model not called); output tokens not reported (model not called)</t>
        </is>
      </c>
    </row>
    <row r="21">
      <c r="A21" s="2" t="inlineStr">
        <is>
          <t>COS-73.2329-Q1</t>
        </is>
      </c>
      <c r="B21" s="2" t="inlineStr">
        <is>
          <t>We're developing a pearlescent nail polish and want to use guanine as the colorant. May we, and what restrictions, certification or labeling apply?</t>
        </is>
      </c>
      <c r="C21" s="2" t="inlineStr">
        <is>
          <t>Yes. 73.2329(b) lists guanine for coloring cosmetics generally, including cosmetics intended for use in the area of the eye, in amounts consistent with good manufacturing practice (no numeric cap). It must conform in identity and specifications to § 73.1329(a)(1) and (b) ((a)(1)). The additive and its color mixtures bear § 70.25 labeling ((c)). Batches are exempt from section 721(c) certification ((d)).</t>
        </is>
      </c>
      <c r="D21" s="2" t="inlineStr">
        <is>
          <t>Yes, guanine may be used as a colorant in pearlescent nail polish, provided that the product is externally applied and contains diluents only as specified in §73.1001(b) and nitrocellulose for externally applied cosmetics [5]. The use of guanine is permitted in cosmetics generally, including externally applied products such as nail polish, with no specific amount or concentration limits beyond good manufacturing practice. Guanine may be used in mixtures that contain diluents only if those diluents are listed under §73.1001(b) and nitrocellulose for external use [5]. The provisions do not specify any restriction on the amount of guanine, but its use is limited to formulations where diluents comply with the restrictions in §73.2329(a)(2)(ii) [5]. The definition of "area of the eye" includes eyelids, eyebrow, skin below the eyebrow, conjunctival sac, and soft tissue within the infra-orbital ridge; this applies to products applied near the eyes but does not restrict use in nail polish since nail polish is not applied in that area [9].
21 CFR 70.3(s) defines the "area of the eye" as including the eyelids, eyebrow, skin below the eyebrow, conjunctival sac, and soft areolar tissue within the infra-orbital ridge [9].  
21 CFR 73.2329(a) requires that guanine shall conform in identity and specifications to the requirements of §73.1329(a)(1) and (b) [1].  
21 CFR 73.2329(a)(1) requires that guanine used as a color additive must meet the identity and specification standards set forth in §73.1329(a)(1) and (b) [2].  
21 CFR 73.2329(a)(2) allows for color additive mixtures of guanine to contain diluents, with specific restrictions depending on product type [3].  
21 CFR 73.2329(a)(2)(i) limits the use of diluents in coloring cosmetics generally to those listed under §73.1001(a)(1) [4].  
21 CFR 73.2329(a)(2)(ii) restricts diluents for externally applied cosmetics to those listed in §73.1001(b) and, in addition, nitrocellulose [5].  
21 CFR 73.2329(b) permits the use of guanine in cosmetics generally, including those intended for use in the area of the eye, provided amounts are consistent with good manufacturing practice [6].  
21 CFR 73.2329(c) requires that any color additive or mixture prepared therefrom intended solely or in part for coloring purposes shall bear labeling in accordance with §70.25 [7].  
21 CFR 73.2329(d) exempts guanine from certification because it is deemed safe and does not require certification under section 721(c) of the act [8].</t>
        </is>
      </c>
      <c r="E21" s="2" t="inlineStr">
        <is>
          <t>PARTIALLY FAIL</t>
        </is>
      </c>
      <c r="F21" s="2" t="inlineStr">
        <is>
          <t>Citations and coverage of (a)(1), (b), (c) and (d) are correct. But the opening makes use conditional on the product being 'externally applied' and containing only 73.1001(b) diluents. Guanine is permitted in cosmetics generally, and the (a)(2)(ii) diluent limit applies to color additive mixtures, not the whole nail polish, so the requirement's scope is misstated in a way that could mislead.</t>
        </is>
      </c>
      <c r="G21" s="3" t="n">
        <v>75.09999999999999</v>
      </c>
      <c r="H21" s="4" t="n">
        <v>2458</v>
      </c>
      <c r="I21" s="4" t="n">
        <v>678</v>
      </c>
      <c r="J21" s="2" t="inlineStr">
        <is>
          <t>mlx-community/Qwen3-4B-Instruct-2507-4bit (rev 50d42775)</t>
        </is>
      </c>
      <c r="K21" s="2" t="inlineStr">
        <is>
          <t>BAAI/bge-small-en-v1.5 (dense section candidates for promotion)</t>
        </is>
      </c>
      <c r="L21" s="2" t="inlineStr">
        <is>
          <t>SUCCESS</t>
        </is>
      </c>
      <c r="M21" s="2" t="inlineStr"/>
      <c r="N21" s="2" t="inlineStr">
        <is>
          <t>Expected CFR section(s) 73.2329: all in evidence; cited in answer: 73.2329. Evidence (9): 21 CFR 73.2329(a) [exact]; 21 CFR 73.2329(a)(1) [exact]; 21 CFR 73.2329(a)(2) [exact]; 21 CFR 73.2329(a)(2)(i) [exact]; 21 CFR 73.2329(a)(2)(ii) [exact]; 21 CFR 73.2329(b) [exact]; 21 CFR 73.2329(c) [exact]; 21 CFR 73.2329(d) [exact]; 21 CFR 70.3(s) [exact]. Query type None; semantic fallback not invoked.</t>
        </is>
      </c>
      <c r="O21" s="2" t="n">
        <v>20</v>
      </c>
      <c r="P21" s="2" t="inlineStr">
        <is>
          <t>73</t>
        </is>
      </c>
      <c r="Q21" s="2" t="inlineStr">
        <is>
          <t>Applicability</t>
        </is>
      </c>
      <c r="R21" s="2" t="inlineStr">
        <is>
          <t>Basic</t>
        </is>
      </c>
      <c r="S21" s="2" t="inlineStr">
        <is>
          <t>21 CFR 73.2329(a)(1), (b), (c), (d)</t>
        </is>
      </c>
      <c r="T21" s="2" t="n">
        <v>1</v>
      </c>
      <c r="U21" s="2" t="n">
        <v>0</v>
      </c>
      <c r="V21" s="2" t="n">
        <v>1</v>
      </c>
      <c r="W21" s="2" t="n">
        <v>2</v>
      </c>
      <c r="X21" s="2" t="n">
        <v>1</v>
      </c>
      <c r="Y21" s="2" t="inlineStr">
        <is>
          <t>Generated answer</t>
        </is>
      </c>
      <c r="Z21" s="2" t="inlineStr">
        <is>
          <t>initial True -&gt; final True</t>
        </is>
      </c>
      <c r="AA21" s="2" t="inlineStr">
        <is>
          <t>[5] = 21 CFR 73.2329(a)(2)(ii); [9] = 21 CFR 70.3(s); [1] = 21 CFR 73.2329(a); [2] = 21 CFR 73.2329(a)(1); [3] = 21 CFR 73.2329(a)(2); [4] = 21 CFR 73.2329(a)(2)(i); [6] = 21 CFR 73.2329(b); [7] = 21 CFR 73.2329(c); [8] = 21 CFR 73.2329(d)</t>
        </is>
      </c>
      <c r="AB21" s="2" t="n"/>
      <c r="AC21" s="2" t="n"/>
      <c r="AD21" s="2" t="n"/>
      <c r="AE21" s="3" t="n"/>
      <c r="AF21" s="3" t="n"/>
      <c r="AG21" s="3" t="n"/>
      <c r="AH21" s="3" t="n"/>
      <c r="AI21" s="2" t="inlineStr"/>
    </row>
    <row r="22">
      <c r="A22" s="2" t="inlineStr">
        <is>
          <t>COS-73.2400-Q1</t>
        </is>
      </c>
      <c r="B22" s="2" t="inlineStr">
        <is>
          <t>We're developing a pressed body powder and want to use pyrophyllite as the colorant. May we, and what restrictions, certification or labeling apply?</t>
        </is>
      </c>
      <c r="C22" s="2" t="inlineStr">
        <is>
          <t>Yes. 73.2400(b) lists pyrophyllite for coloring externally applied cosmetics, in amounts consistent with good manufacturing practice (no numeric cap). It must conform in identity and specifications to § 73.1400(a)(1) and (b) ((a)). The additive and its color mixtures bear § 70.25 labeling ((c)). Batches are exempt from section 721(c) certification ((d)).</t>
        </is>
      </c>
      <c r="D22" s="2" t="inlineStr">
        <is>
          <t>Powder: permitted.
21 CFR 73.2400(b) states: "Pyrophyllite may be safely used for coloring externally applied cosmetics, in amounts consistent with good manufacturing practice." [2].
Use limit: no percentage is stated; the amount is consistent with good manufacturing practice [2].
21 CFR 73.2400(a) states: "The color additive pyrophyllite shall conform in identity and specifications to the requirements of § 73.1400 (a)(1) and (b)." [1].
21 CFR 73.2400(c) states: "The labeling of the color additive and any mixtures prepared therefrom intended solely or in part for coloring purposes shall conform to all applicable requirements of law, including the requirements of § 70.25 of this chapter." [3].
21 CFR 73.2400(d) states: "Certification of this color additive is not necessary for the protection of the public health and therefore batches thereof are exempt from the certification requirements of section 721(c) of the act." [4].
21 CFR 70.3(v) states: "The terms externally applied drugs and externally applied cosmetics mean drugs or cosmetics applied only to external parts of the body and not to the lips or any body surface covered by mucous membrane." [5].</t>
        </is>
      </c>
      <c r="E22" s="2" t="inlineStr">
        <is>
          <t>PASS</t>
        </is>
      </c>
      <c r="F22" s="2" t="inlineStr">
        <is>
          <t>Says the use is permitted for body powder under (b) (externally applied cosmetics, GMP, no cap). Gives (a) conformance to 73.1400(a)(1) and (b), (c) § 70.25 labeling, (d) the exemption and the 70.3(v) definition. Matches the key.</t>
        </is>
      </c>
      <c r="G22" s="3" t="n">
        <v>13.1</v>
      </c>
      <c r="H22" s="4" t="n"/>
      <c r="I22" s="4" t="n"/>
      <c r="J22" s="2" t="inlineStr">
        <is>
          <t>mlx-community/Qwen3-4B-Instruct-2507-4bit (rev 50d42775)</t>
        </is>
      </c>
      <c r="K22" s="2" t="inlineStr">
        <is>
          <t>BAAI/bge-small-en-v1.5 (dense section candidates for promotion)</t>
        </is>
      </c>
      <c r="L22" s="2" t="inlineStr">
        <is>
          <t>SUCCESS</t>
        </is>
      </c>
      <c r="M22" s="2" t="inlineStr"/>
      <c r="N22" s="2" t="inlineStr">
        <is>
          <t>Expected CFR section(s) 73.2400: all in evidence; cited in answer: 73.2400. Evidence (5): 21 CFR 73.2400(a) [exact]; 21 CFR 73.2400(b) [exact]; 21 CFR 73.2400(c) [exact]; 21 CFR 73.2400(d) [exact]; 21 CFR 70.3(v) [exact]. Query type None; semantic fallback not invoked.</t>
        </is>
      </c>
      <c r="O22" s="2" t="n">
        <v>21</v>
      </c>
      <c r="P22" s="2" t="inlineStr">
        <is>
          <t>73</t>
        </is>
      </c>
      <c r="Q22" s="2" t="inlineStr">
        <is>
          <t>Applicability</t>
        </is>
      </c>
      <c r="R22" s="2" t="inlineStr">
        <is>
          <t>Basic</t>
        </is>
      </c>
      <c r="S22" s="2" t="inlineStr">
        <is>
          <t>21 CFR 73.2400(a), (b), (c), (d)</t>
        </is>
      </c>
      <c r="T22" s="2" t="n">
        <v>1</v>
      </c>
      <c r="U22" s="2" t="n">
        <v>0</v>
      </c>
      <c r="V22" s="2" t="n">
        <v>2</v>
      </c>
      <c r="W22" s="2" t="n">
        <v>2</v>
      </c>
      <c r="X22" s="2" t="n">
        <v>1</v>
      </c>
      <c r="Y22" s="2" t="inlineStr">
        <is>
          <t>Fallback: composed_from_listing</t>
        </is>
      </c>
      <c r="Z22" s="2" t="inlineStr">
        <is>
          <t>initial True -&gt; final True; fallback composed_from_listing</t>
        </is>
      </c>
      <c r="AA22" s="2" t="inlineStr">
        <is>
          <t>[2] = 21 CFR 73.2400(b); [1] = 21 CFR 73.2400(a); [3] = 21 CFR 73.2400(c); [4] = 21 CFR 73.2400(d); [5] = 21 CFR 70.3(v)</t>
        </is>
      </c>
      <c r="AB22" s="2" t="n"/>
      <c r="AC22" s="2" t="n"/>
      <c r="AD22" s="2" t="n"/>
      <c r="AE22" s="3" t="n"/>
      <c r="AF22" s="3" t="n"/>
      <c r="AG22" s="3" t="n"/>
      <c r="AH22" s="3" t="n"/>
      <c r="AI22" s="2" t="inlineStr">
        <is>
          <t>input tokens not reported (model not called); output tokens not reported (model not called)</t>
        </is>
      </c>
    </row>
    <row r="23">
      <c r="A23" s="2" t="inlineStr">
        <is>
          <t>COS-73.2496-Q1</t>
        </is>
      </c>
      <c r="B23" s="2" t="inlineStr">
        <is>
          <t>We're developing a shimmer highlighter and want to use mica as the colorant. May we, and what restrictions, certification or labeling apply?</t>
        </is>
      </c>
      <c r="C23" s="2" t="inlineStr">
        <is>
          <t>Yes. 73.2496(b) lists mica for coloring cosmetics generally, including cosmetics intended for use in the area of the eye, in amounts consistent with good manufacturing practice (no numeric cap). It must conform in identity and specifications to § 73.1496(a)(1) and (b) ((a)). The additive and its color mixtures bear § 70.25 labeling ((c)). Batches are exempt from section 721(c) certification ((d)).</t>
        </is>
      </c>
      <c r="D23" s="2" t="inlineStr">
        <is>
          <t>Highlighter: permitted.
21 CFR 73.2496(b) states: "Mica is safe for use in coloring cosmetics generally, including cosmetics applied to the area of the eye, in amounts consistent with good manufacturing practice." [2].
Use limit: no percentage is stated; the amount is consistent with good manufacturing practice [2].
21 CFR 73.2496(a) states: "The color additive mica shall conform in identity and specifications to the requirements of § 73.1496(a)(1) and (b)." [1].
21 CFR 73.2496(c) states: "The color additive and any mixture prepared therefrom intended solely or in part for coloring purposes shall bear, in addition to any information required by law, labeling in accordance with of § 70.25 of this chapter." [3].
21 CFR 73.2496(d) states: "Certification of this color additive is not necessary for the protection of the public health, and therefore batches thereof are exempt from the certification pursuant to section 721(c) of the act." [4].
21 CFR 70.3(s) states: "The term area of the eye means the area enclosed with in the circumference of the supra-orbital ridge and the infra-orbital ridge, including the eyebrow, the skin below the eyebrow, the eyelids and the eyelashes, and conjunctival sac of the eye, the eyeball, and the soft areolar tissue that lies within the perimeter of the infra-orbital ridge." [5].</t>
        </is>
      </c>
      <c r="E23" s="2" t="inlineStr">
        <is>
          <t>PASS</t>
        </is>
      </c>
      <c r="F23" s="2" t="inlineStr">
        <is>
          <t>Says the use is permitted under (b) (cosmetics generally, eye area included, GMP, no cap). Gives (a) conformance to 73.1496(a)(1) and (b), (c) § 70.25 labeling and (d) the exemption. Matches the key.</t>
        </is>
      </c>
      <c r="G23" s="3" t="n">
        <v>13.2</v>
      </c>
      <c r="H23" s="4" t="n"/>
      <c r="I23" s="4" t="n"/>
      <c r="J23" s="2" t="inlineStr">
        <is>
          <t>mlx-community/Qwen3-4B-Instruct-2507-4bit (rev 50d42775)</t>
        </is>
      </c>
      <c r="K23" s="2" t="inlineStr">
        <is>
          <t>BAAI/bge-small-en-v1.5 (dense section candidates for promotion)</t>
        </is>
      </c>
      <c r="L23" s="2" t="inlineStr">
        <is>
          <t>SUCCESS</t>
        </is>
      </c>
      <c r="M23" s="2" t="inlineStr"/>
      <c r="N23" s="2" t="inlineStr">
        <is>
          <t>Expected CFR section(s) 73.2496: all in evidence; cited in answer: 73.2496. Evidence (5): 21 CFR 73.2496(a) [exact]; 21 CFR 73.2496(b) [exact]; 21 CFR 73.2496(c) [exact]; 21 CFR 73.2496(d) [exact]; 21 CFR 70.3(s) [exact]. Query type None; semantic fallback not invoked.</t>
        </is>
      </c>
      <c r="O23" s="2" t="n">
        <v>22</v>
      </c>
      <c r="P23" s="2" t="inlineStr">
        <is>
          <t>73</t>
        </is>
      </c>
      <c r="Q23" s="2" t="inlineStr">
        <is>
          <t>Applicability</t>
        </is>
      </c>
      <c r="R23" s="2" t="inlineStr">
        <is>
          <t>Basic</t>
        </is>
      </c>
      <c r="S23" s="2" t="inlineStr">
        <is>
          <t>21 CFR 73.2496(a), (b), (c), (d)</t>
        </is>
      </c>
      <c r="T23" s="2" t="n">
        <v>1</v>
      </c>
      <c r="U23" s="2" t="n">
        <v>0</v>
      </c>
      <c r="V23" s="2" t="n">
        <v>2</v>
      </c>
      <c r="W23" s="2" t="n">
        <v>2</v>
      </c>
      <c r="X23" s="2" t="n">
        <v>1</v>
      </c>
      <c r="Y23" s="2" t="inlineStr">
        <is>
          <t>Fallback: composed_from_listing</t>
        </is>
      </c>
      <c r="Z23" s="2" t="inlineStr">
        <is>
          <t>initial True -&gt; final True; fallback composed_from_listing</t>
        </is>
      </c>
      <c r="AA23" s="2" t="inlineStr">
        <is>
          <t>[2] = 21 CFR 73.2496(b); [1] = 21 CFR 73.2496(a); [3] = 21 CFR 73.2496(c); [4] = 21 CFR 73.2496(d); [5] = 21 CFR 70.3(s)</t>
        </is>
      </c>
      <c r="AB23" s="2" t="n"/>
      <c r="AC23" s="2" t="n"/>
      <c r="AD23" s="2" t="n"/>
      <c r="AE23" s="3" t="n"/>
      <c r="AF23" s="3" t="n"/>
      <c r="AG23" s="3" t="n"/>
      <c r="AH23" s="3" t="n"/>
      <c r="AI23" s="2" t="inlineStr">
        <is>
          <t>input tokens not reported (model not called); output tokens not reported (model not called)</t>
        </is>
      </c>
    </row>
    <row r="24">
      <c r="A24" s="2" t="inlineStr">
        <is>
          <t>COS-73.2775-Q1</t>
        </is>
      </c>
      <c r="B24" s="2" t="inlineStr">
        <is>
          <t>We're developing a purple lipstick and want to use manganese violet as the colorant. May we, and what restrictions, certification or labeling apply?</t>
        </is>
      </c>
      <c r="C24" s="2" t="inlineStr">
        <is>
          <t>Yes. 73.2775(c) lists manganese violet for coloring cosmetics generally, including cosmetics intended for use in the area of the eye, in amounts consistent with good manufacturing practice. (b) sets specifications including lead ≤20 ppm, arsenic ≤3 ppm, mercury ≤1 ppm and total color ≥93%. (d): § 70.25 labeling. (e): exempt from section 721(c) certification.</t>
        </is>
      </c>
      <c r="D24" s="2" t="inlineStr">
        <is>
          <t>Lipstick: permitted.
21 CFR 73.2775(c) states: "Manganese violet is safe for use in coloring cosmetics generally, including cosmetics applied to the area of the eye, in amounts consistent with good manufacturing practice." [4].
Use limit: no percentage is stated; the amount is consistent with good manufacturing practice [4].
21 CFR 73.2775(a) states: "The color additive manganese violet is a violet pigment obtained by reacting phosphoric acid, ammonium dihydrogen orthophosphate, and manganese dioxide at temperatures above 450 °F. The pigment is a manganese ammonium pyrophosphate complex having the approximate formula: Mn(III)NH4P2O7." [1].
21 CFR 73.2775(b) states: "Manganese violet shall conform to the following specifications and shall be free from impurities other than those named, to the extent that such other impurities may be avoided by good manufacturing practice:" [2].
21 CFR 73.2775(b) states: "Ash (at 600 °C), not less than 81 percent. Volatile matter at 135 °C for 3 hours, not more than 1 percent. Water soluble substances, not more than 6 percent. pH of filtrate of 10 grams color additive (shaken occasionally for 2 hours with 100 milliliters of freshly boiled distilled water), not more than 4.7 and not less than 2.5. Lead (as Pb), not more than 20 parts per million. Arsenic (as As), not more than 3 parts per million. Mercury (as Hg), not more than 1 part per million. Total color, based on Mn content in “as is” sample, not less than 93 percent." [3].
21 CFR 73.2775(d) states: "The color additive and any mixture prepared therefrom intended solely or in part for coloring purposes shall bear, in addition to any information required by law, labeling in accordance with § 70.25 of this chapter." [5].
21 CFR 73.2775(e) states: "Certification of this color additive is not necessary for the protection of the public health, and therefore batches thereof are exempt from certification pursuant to section 721(c) of the act." [6].
21 CFR 70.3(s) states: "The term area of the eye means the area enclosed with in the circumference of the supra-orbital ridge and the infra-orbital ridge, including the eyebrow, the skin below the eyebrow, the eyelids and the eyelashes, and conjunctival sac of the eye, the eyeball, and the soft areolar tissue that lies within the perimeter of the infra-orbital ridge." [7].</t>
        </is>
      </c>
      <c r="E24" s="2" t="inlineStr">
        <is>
          <t>PASS</t>
        </is>
      </c>
      <c r="F24" s="2" t="inlineStr">
        <is>
          <t>Says lipstick use is permitted under (c) (cosmetics generally, GMP). Quotes the (b) specifications, including lead 20 ppm, arsenic 3 ppm, mercury 1 ppm and total color 93% or more, plus (d) § 70.25 labeling and (e) the exemption. Covers (a)-(e) as the key requires.</t>
        </is>
      </c>
      <c r="G24" s="3" t="n">
        <v>13.2</v>
      </c>
      <c r="H24" s="4" t="n"/>
      <c r="I24" s="4" t="n"/>
      <c r="J24" s="2" t="inlineStr">
        <is>
          <t>mlx-community/Qwen3-4B-Instruct-2507-4bit (rev 50d42775)</t>
        </is>
      </c>
      <c r="K24" s="2" t="inlineStr">
        <is>
          <t>BAAI/bge-small-en-v1.5 (dense section candidates for promotion)</t>
        </is>
      </c>
      <c r="L24" s="2" t="inlineStr">
        <is>
          <t>SUCCESS</t>
        </is>
      </c>
      <c r="M24" s="2" t="inlineStr"/>
      <c r="N24" s="2" t="inlineStr">
        <is>
          <t>Expected CFR section(s) 73.2775: all in evidence; cited in answer: 73.2775. Evidence (7): 21 CFR 73.2775(a) [exact]; 21 CFR 73.2775(b) [exact]; 21 CFR 73.2775(b) [exact]; 21 CFR 73.2775(c) [exact]; 21 CFR 73.2775(d) [exact]; 21 CFR 73.2775(e) [exact]; 21 CFR 70.3(s) [exact]. Query type None; semantic fallback not invoked.</t>
        </is>
      </c>
      <c r="O24" s="2" t="n">
        <v>23</v>
      </c>
      <c r="P24" s="2" t="inlineStr">
        <is>
          <t>73</t>
        </is>
      </c>
      <c r="Q24" s="2" t="inlineStr">
        <is>
          <t>Applicability</t>
        </is>
      </c>
      <c r="R24" s="2" t="inlineStr">
        <is>
          <t>Basic</t>
        </is>
      </c>
      <c r="S24" s="2" t="inlineStr">
        <is>
          <t>21 CFR 73.2775(a)-(e)</t>
        </is>
      </c>
      <c r="T24" s="2" t="n">
        <v>1</v>
      </c>
      <c r="U24" s="2" t="n">
        <v>0</v>
      </c>
      <c r="V24" s="2" t="n">
        <v>2</v>
      </c>
      <c r="W24" s="2" t="n">
        <v>2</v>
      </c>
      <c r="X24" s="2" t="n">
        <v>1</v>
      </c>
      <c r="Y24" s="2" t="inlineStr">
        <is>
          <t>Fallback: composed_from_listing</t>
        </is>
      </c>
      <c r="Z24" s="2" t="inlineStr">
        <is>
          <t>initial True -&gt; final True; fallback composed_from_listing</t>
        </is>
      </c>
      <c r="AA24" s="2" t="inlineStr">
        <is>
          <t>[4] = 21 CFR 73.2775(c); [1] = 21 CFR 73.2775(a); [2] = 21 CFR 73.2775(b); [3] = 21 CFR 73.2775(b); [5] = 21 CFR 73.2775(d); [6] = 21 CFR 73.2775(e); [7] = 21 CFR 70.3(s)</t>
        </is>
      </c>
      <c r="AB24" s="2" t="n"/>
      <c r="AC24" s="2" t="n"/>
      <c r="AD24" s="2" t="n"/>
      <c r="AE24" s="3" t="n"/>
      <c r="AF24" s="3" t="n"/>
      <c r="AG24" s="3" t="n"/>
      <c r="AH24" s="3" t="n"/>
      <c r="AI24" s="2" t="inlineStr">
        <is>
          <t>input tokens not reported (model not called); output tokens not reported (model not called)</t>
        </is>
      </c>
    </row>
    <row r="25">
      <c r="A25" s="2" t="inlineStr">
        <is>
          <t>COS-74.2101-Q1</t>
        </is>
      </c>
      <c r="B25" s="2" t="inlineStr">
        <is>
          <t>We're formulating an eye shadow with FD&amp;C Blue No. 1 and a second shade with FD&amp;C Blue No. 1 Aluminum Lake. Are both permitted, and on what conditions?</t>
        </is>
      </c>
      <c r="C25" s="2" t="inlineStr">
        <is>
          <t>Yes. § 74.2101(c)(1) permits FD&amp;C Blue No. 1 for cosmetics generally, including cosmetics intended for use in the area of the eye; (c)(2) permits FD&amp;C Blue No. 1 Aluminum Lake for cosmetics intended for use in the area of the eye. Both in amounts consistent with current good manufacturing practice. All batches must be certified under part 80 (§ 74.2101(e)).</t>
        </is>
      </c>
      <c r="D25" s="2" t="inlineStr">
        <is>
          <t>The generated answer could not be validated against the retrieved regulatory evidence, so it is not shown. The retrieved sources were not verified to answer the question as asked, so their text is not quoted as an answer. Sources consulted: 21 CFR 74.2340(a), 21 CFR 74.2340(a)(1), 21 CFR 74.2340(a)(2), 21 CFR 74.2340(b), 21 CFR 74.2340(b)(1) and 4 more.</t>
        </is>
      </c>
      <c r="E25" s="2" t="inlineStr">
        <is>
          <t>FAIL</t>
        </is>
      </c>
      <c r="F25" s="2" t="inlineStr">
        <is>
          <t>Answer was withheld, and the sources it consulted were for the wrong section (74.2340). It never states the (c)(1)/(c)(2) permissions or the (e) batch certification requirement.</t>
        </is>
      </c>
      <c r="G25" s="3" t="n">
        <v>78.90000000000001</v>
      </c>
      <c r="H25" s="4" t="n">
        <v>1829</v>
      </c>
      <c r="I25" s="4" t="n">
        <v>694</v>
      </c>
      <c r="J25" s="2" t="inlineStr">
        <is>
          <t>mlx-community/Qwen3-4B-Instruct-2507-4bit (rev 50d42775)</t>
        </is>
      </c>
      <c r="K25" s="2" t="inlineStr">
        <is>
          <t>BAAI/bge-small-en-v1.5 (dense section candidates for promotion)</t>
        </is>
      </c>
      <c r="L25" s="2" t="inlineStr">
        <is>
          <t>SUCCESS</t>
        </is>
      </c>
      <c r="M25" s="2" t="inlineStr"/>
      <c r="N25" s="2" t="inlineStr">
        <is>
          <t>Expected CFR section(s) 74.2101: none in evidence; none cited in answer. Evidence (9): 21 CFR 74.2340(a) [exact]; 21 CFR 74.2340(a)(1) [exact]; 21 CFR 74.2340(a)(2) [exact]; 21 CFR 74.2340(b) [exact]; 21 CFR 74.2340(b)(1) [exact]; 21 CFR 74.2340(b)(2) [exact]; 21 CFR 74.2340(c) [exact]; 21 CFR 74.2340(d) [exact]; 21 CFR 70.3(s) [exact]. Query type None; semantic fallback not invoked.</t>
        </is>
      </c>
      <c r="O25" s="2" t="n">
        <v>24</v>
      </c>
      <c r="P25" s="2" t="inlineStr">
        <is>
          <t>74</t>
        </is>
      </c>
      <c r="Q25" s="2" t="inlineStr">
        <is>
          <t>Applicability</t>
        </is>
      </c>
      <c r="R25" s="2" t="inlineStr">
        <is>
          <t>Intermediate</t>
        </is>
      </c>
      <c r="S25" s="2" t="inlineStr">
        <is>
          <t>21 CFR 74.2101(c)(1), (c)(2), (e)</t>
        </is>
      </c>
      <c r="T25" s="2" t="n">
        <v>0</v>
      </c>
      <c r="U25" s="2" t="n">
        <v>0</v>
      </c>
      <c r="V25" s="2" t="n">
        <v>0</v>
      </c>
      <c r="W25" s="2" t="n">
        <v>0</v>
      </c>
      <c r="X25" s="2" t="n">
        <v>1</v>
      </c>
      <c r="Y25" s="2" t="inlineStr">
        <is>
          <t>Withheld by validator (no answer shown)</t>
        </is>
      </c>
      <c r="Z25" s="2" t="inlineStr">
        <is>
          <t>initial False [unsupported_claim] -&gt; final False; repair applied; fallback unvalidated_answer_withheld</t>
        </is>
      </c>
      <c r="AA25" s="2" t="inlineStr"/>
      <c r="AB25" s="2" t="n"/>
      <c r="AC25" s="2" t="n"/>
      <c r="AD25" s="2" t="n"/>
      <c r="AE25" s="3" t="n"/>
      <c r="AF25" s="3" t="n"/>
      <c r="AG25" s="3" t="n"/>
      <c r="AH25" s="3" t="n"/>
      <c r="AI25" s="2" t="inlineStr"/>
    </row>
    <row r="26">
      <c r="A26" s="2" t="inlineStr">
        <is>
          <t>COS-74.2104-Q1</t>
        </is>
      </c>
      <c r="B26" s="2" t="inlineStr">
        <is>
          <t>We're a small skincare brand formulating a tinted body lotion. Our supplier offers D&amp;C Blue No. 4. Can we use it, is there a use limit, and does the color need FDA certification?</t>
        </is>
      </c>
      <c r="C26" s="2" t="inlineStr">
        <is>
          <t>Yes. § 74.2104(b) permits D&amp;C Blue No. 4 for coloring externally applied cosmetics in amounts consistent with good manufacturing practice; no numeric limit is set. A body lotion is applied only to external body parts, not lips or mucous membrane (§ 70.3(v)). All batches must be certified under part 80 (§ 74.2104(d)); the color additive label must conform to § 70.25 (§ 74.2104(c)).</t>
        </is>
      </c>
      <c r="D26" s="2" t="inlineStr">
        <is>
          <t>Body lotion: permitted.
21 CFR 74.2104(b) states: "D&amp;C Blue No. 4 may be safely used for coloring externally applied cosmetics in amounts consistent with good manufacturing practice." [2].
Use limit: no percentage is stated; the amount is consistent with good manufacturing practice [2].
21 CFR 74.2104(a) states: "The color additive D&amp;C Blue No. 4 shall conform in identity and specifications to the requirements of § 74.1104(a)(1) and (b)." [1].
21 CFR 74.2104(c) states: "The label of the color additive shall conform to the requirements of § 70.25 of this chapter." [3].
21 CFR 74.2104(d) states: "All batches of D&amp;C Blue No. 4 shall be certified in accordance with regulations in part 80 of this chapter." [4].
21 CFR 82.1104 states: "The color additive D&amp;C Blue No. 4 shall conform in identity and specifications to the requirements of § 74.1104(a)(1) and (b) of this chapter. D&amp;C Blue No. 4 is restricted to use in externally applied drugs and cosmetics." [5].
21 CFR 70.3(v) states: "The terms externally applied drugs and externally applied cosmetics mean drugs or cosmetics applied only to external parts of the body and not to the lips or any body surface covered by mucous membrane." [6].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[7].</t>
        </is>
      </c>
      <c r="E26" s="2" t="inlineStr">
        <is>
          <t>PASS</t>
        </is>
      </c>
      <c r="F26" s="2" t="inlineStr">
        <is>
          <t>Says the body lotion use is permitted under 74.2104(b) with no numeric limit beyond GMP, and backs that with 70.3(v). It covers certification under part 80 (74.2104(d)) and labeling per 70.25 (74.2104(c)). The extra citations (74.2104(a), 82.1104, 82.1050) are correct.</t>
        </is>
      </c>
      <c r="G26" s="3" t="n">
        <v>14.3</v>
      </c>
      <c r="H26" s="4" t="n"/>
      <c r="I26" s="4" t="n"/>
      <c r="J26" s="2" t="inlineStr">
        <is>
          <t>mlx-community/Qwen3-4B-Instruct-2507-4bit (rev 50d42775)</t>
        </is>
      </c>
      <c r="K26" s="2" t="inlineStr">
        <is>
          <t>BAAI/bge-small-en-v1.5 (dense section candidates for promotion)</t>
        </is>
      </c>
      <c r="L26" s="2" t="inlineStr">
        <is>
          <t>SUCCESS</t>
        </is>
      </c>
      <c r="M26" s="2" t="inlineStr"/>
      <c r="N26" s="2" t="inlineStr">
        <is>
          <t>Expected CFR section(s) 70.3, 74.2104: all in evidence; cited in answer: 70.3, 74.2104. Evidence (7): 21 CFR 74.2104(a) [exact]; 21 CFR 74.2104(b) [exact]; 21 CFR 74.2104(c) [exact]; 21 CFR 74.2104(d) [exact]; 21 CFR 82.1104 [exact]; 21 CFR 70.3(v) [exact]; 21 CFR 82.1050 [exact]. Query type None; semantic fallback not invoked.</t>
        </is>
      </c>
      <c r="O26" s="2" t="n">
        <v>25</v>
      </c>
      <c r="P26" s="2" t="inlineStr">
        <is>
          <t>74</t>
        </is>
      </c>
      <c r="Q26" s="2" t="inlineStr">
        <is>
          <t>Applicability</t>
        </is>
      </c>
      <c r="R26" s="2" t="inlineStr">
        <is>
          <t>Basic</t>
        </is>
      </c>
      <c r="S26" s="2" t="inlineStr">
        <is>
          <t>21 CFR 74.2104(b), (c), (d); 21 CFR 70.3(v)</t>
        </is>
      </c>
      <c r="T26" s="2" t="n">
        <v>1</v>
      </c>
      <c r="U26" s="2" t="n">
        <v>0</v>
      </c>
      <c r="V26" s="2" t="n">
        <v>2</v>
      </c>
      <c r="W26" s="2" t="n">
        <v>2</v>
      </c>
      <c r="X26" s="2" t="n">
        <v>1</v>
      </c>
      <c r="Y26" s="2" t="inlineStr">
        <is>
          <t>Fallback: composed_from_listing</t>
        </is>
      </c>
      <c r="Z26" s="2" t="inlineStr">
        <is>
          <t>initial True -&gt; final True; fallback composed_from_listing</t>
        </is>
      </c>
      <c r="AA26" s="2" t="inlineStr">
        <is>
          <t>[2] = 21 CFR 74.2104(b); [1] = 21 CFR 74.2104(a); [3] = 21 CFR 74.2104(c); [4] = 21 CFR 74.2104(d); [5] = 21 CFR 82.1104; [6] = 21 CFR 70.3(v); [7] = 21 CFR 82.1050</t>
        </is>
      </c>
      <c r="AB26" s="2" t="n"/>
      <c r="AC26" s="2" t="n"/>
      <c r="AD26" s="2" t="n"/>
      <c r="AE26" s="3" t="n"/>
      <c r="AF26" s="3" t="n"/>
      <c r="AG26" s="3" t="n"/>
      <c r="AH26" s="3" t="n"/>
      <c r="AI26" s="2" t="inlineStr">
        <is>
          <t>input tokens not reported (model not called); output tokens not reported (model not called)</t>
        </is>
      </c>
    </row>
    <row r="27">
      <c r="A27" s="2" t="inlineStr">
        <is>
          <t>COS-74.2151-Q1</t>
        </is>
      </c>
      <c r="B27" s="2" t="inlineStr">
        <is>
          <t>We're a 12-person contract filler formulating a tinted hand cream. Our supplier offers D&amp;C Brown No. 1. Can we use it, is there a use limit, and does the color need FDA certification?</t>
        </is>
      </c>
      <c r="C27" s="2" t="inlineStr">
        <is>
          <t>Yes. § 74.2151(c) permits D&amp;C Brown No. 1 for coloring externally applied cosmetics in amounts consistent with good manufacturing practice; no numeric limit is set. A hand cream is applied only to external body parts, not lips or mucous membrane (§ 70.3(v)). All batches must be certified under part 80 (§ 74.2151(e)); the color additive label must conform to § 70.25 (§ 74.2151(d)).</t>
        </is>
      </c>
      <c r="D27" s="2" t="inlineStr">
        <is>
          <t>Hand cream: permitted.
21 CFR 74.2151(c) states: "D&amp;C Brown No. 1 may be safely used for coloring externally applied cosmetics in amounts consistent with good manufacturing practice." [4].
Use limit: no percentage is stated; the amount is consistent with good manufacturing practice [4].
21 CFR 74.2151(a) states: "The color additive D&amp;C Brown No. 1 is a mixture of the sodium salts of 4[[5-[(dialkylphenyl)- azo]-2,4-dihydroxyphenyl]azo]-benzene sulfonic acid. The alkyl group is principally the methyl group." [1].
21 CFR 74.2151(b) states: "D&amp;C Brown No. 1 shall conform to the following specifications and shall be free from impurities other than those named to the extent that such other impurities may be avoided by good manufacturing practice:" [2].
21 CFR 74.2151(b) states: "Sum of volatile matter (at 135 °C) and chlorides and sulfates (calculated as sodium salts), not more than 16 percent. Water-insoluble matter, not more than 0.2 percent. Sulfanilic acid, sodium salt, not more than 0.2 percent. Resorcinol, not more than 0.2 percent. Xylidines, not more than 0.2 percent. Disodium salt of 4[[5-[(4-sulfophenyl)-azo]-2,4-dihydroxyphenyl]azo] benzenesulfonic acid, not more than 3 percent. Monosodium salt of 4[[5-[(2,4-dimethyl-phenyl)azo] -2,4-dihydroxyphenyl]azo] benzenesulfonic acid, not less than 29 percent and not more than 39 percent. Monosodium salt of 4[[5-[(2,5-dimethyl-phenyl)azo] -2,4-dihydroxyphenyl]azo] benzenesulfonic acid, not less than 12 percent and not more than 17 percent. Monosodium salt of 4[[5-[(2,3-dimethyl-phenyl)azo] - 2,4-dihydroxyphenyl]azo] benzenesulfonic acid, not less than 6 percent and not more than 13 percent. Monosodium salt of 4[[5-[(2-ethylphenyl)-azo]-2,4-dihydroxyphenyl]-azo] benzenesulfonic acid, not less than 5 percent and not more than 12 percent. Monosodium salt of 4[[5-[(3,4-dimethyl-phenyl)azo] -2,4-dihydroxyphenyl]azo] benzenesulfonic acid, not less than 3 percent and not more than 9 percent. Monosodium salt of 4[[5-[(2,6-dimethyl-phenyl)azo] -2,4-dihydroxyphenyl]azo] benzenesulfonic acid, not less than 3 percent and not more than 8 percent. Monosodium salt of 4[[5-[(4-ethylphenyl) azo]-2,4-dihydroxyphenyl]-azo] benzenesulfonic acid, not less than 2 percent and not more than 8 percent. Lead (as Pb), not more than 20 parts per million. Arsenic (as As), not more than 3 parts per million. Mercury (as Hg), not more than 1 part per million. Total color, not less than 84 percent." [3].
21 CFR 74.2151(d) states: "The label of the color additive shall conform to the requirements of § 70.25 of this chapter." [5].
21 CFR 74.2151(e) states: "All batches of D&amp;C Brown No. 1 shall be certified in accordance with regulations in part 80 of this chapter." [6].
21 CFR 70.3(v) states: "The terms externally applied drugs and externally applied cosmetics mean drugs or cosmetics applied only to external parts of the body and not to the lips or any body surface covered by mucous membrane." [7].</t>
        </is>
      </c>
      <c r="E27" s="2" t="inlineStr">
        <is>
          <t>PASS</t>
        </is>
      </c>
      <c r="F27" s="2" t="inlineStr">
        <is>
          <t>Says the hand cream use is permitted under 74.2151(c) with a GMP amount and no numeric limit, and gives 70.3(v) as the external-use basis. It covers certification (74.2151(e)) and the label per 70.25 (74.2151(d)). The quotes from (a) and (b) are accurate extras.</t>
        </is>
      </c>
      <c r="G27" s="3" t="n">
        <v>14.5</v>
      </c>
      <c r="H27" s="4" t="n"/>
      <c r="I27" s="4" t="n"/>
      <c r="J27" s="2" t="inlineStr">
        <is>
          <t>mlx-community/Qwen3-4B-Instruct-2507-4bit (rev 50d42775)</t>
        </is>
      </c>
      <c r="K27" s="2" t="inlineStr">
        <is>
          <t>BAAI/bge-small-en-v1.5 (dense section candidates for promotion)</t>
        </is>
      </c>
      <c r="L27" s="2" t="inlineStr">
        <is>
          <t>SUCCESS</t>
        </is>
      </c>
      <c r="M27" s="2" t="inlineStr"/>
      <c r="N27" s="2" t="inlineStr">
        <is>
          <t>Expected CFR section(s) 70.3, 74.2151: all in evidence; cited in answer: 70.3, 74.2151. Evidence (7): 21 CFR 74.2151(a) [exact]; 21 CFR 74.2151(b) [exact]; 21 CFR 74.2151(b) [exact]; 21 CFR 74.2151(c) [exact]; 21 CFR 74.2151(d) [exact]; 21 CFR 74.2151(e) [exact]; 21 CFR 70.3(v) [exact]. Query type None; semantic fallback not invoked.</t>
        </is>
      </c>
      <c r="O27" s="2" t="n">
        <v>26</v>
      </c>
      <c r="P27" s="2" t="inlineStr">
        <is>
          <t>74</t>
        </is>
      </c>
      <c r="Q27" s="2" t="inlineStr">
        <is>
          <t>Applicability</t>
        </is>
      </c>
      <c r="R27" s="2" t="inlineStr">
        <is>
          <t>Basic</t>
        </is>
      </c>
      <c r="S27" s="2" t="inlineStr">
        <is>
          <t>21 CFR 74.2151(c), (d), (e); 21 CFR 70.3(v)</t>
        </is>
      </c>
      <c r="T27" s="2" t="n">
        <v>1</v>
      </c>
      <c r="U27" s="2" t="n">
        <v>0</v>
      </c>
      <c r="V27" s="2" t="n">
        <v>2</v>
      </c>
      <c r="W27" s="2" t="n">
        <v>2</v>
      </c>
      <c r="X27" s="2" t="n">
        <v>1</v>
      </c>
      <c r="Y27" s="2" t="inlineStr">
        <is>
          <t>Fallback: composed_from_listing</t>
        </is>
      </c>
      <c r="Z27" s="2" t="inlineStr">
        <is>
          <t>initial True -&gt; final True; fallback composed_from_listing</t>
        </is>
      </c>
      <c r="AA27" s="2" t="inlineStr">
        <is>
          <t>[4] = 21 CFR 74.2151(c); [1] = 21 CFR 74.2151(a); [2] = 21 CFR 74.2151(b); [3] = 21 CFR 74.2151(b); [5] = 21 CFR 74.2151(d); [6] = 21 CFR 74.2151(e); [7] = 21 CFR 70.3(v)</t>
        </is>
      </c>
      <c r="AB27" s="2" t="n"/>
      <c r="AC27" s="2" t="n"/>
      <c r="AD27" s="2" t="n"/>
      <c r="AE27" s="3" t="n"/>
      <c r="AF27" s="3" t="n"/>
      <c r="AG27" s="3" t="n"/>
      <c r="AH27" s="3" t="n"/>
      <c r="AI27" s="2" t="inlineStr">
        <is>
          <t>input tokens not reported (model not called); output tokens not reported (model not called)</t>
        </is>
      </c>
    </row>
    <row r="28">
      <c r="A28" s="2" t="inlineStr">
        <is>
          <t>COS-74.2205-Q1</t>
        </is>
      </c>
      <c r="B28" s="2" t="inlineStr">
        <is>
          <t>Our brand wants a green mascara and a green body wash, both with D&amp;C Green No. 5. Is either use restricted?</t>
        </is>
      </c>
      <c r="C28" s="2" t="inlineStr">
        <is>
          <t>Both are covered. § 74.2205(b) permits D&amp;C Green No. 5 for coloring cosmetics generally, including cosmetics intended for use in the area of the eye, in amounts consistent with current good manufacturing practice. All batches must be certified under part 80 (§ 74.2205(d)); the color additive label must conform to § 70.25 (§ 74.2205(c)).</t>
        </is>
      </c>
      <c r="D28" s="2" t="inlineStr">
        <is>
          <t>Mascara and body wash: permitted.
21 CFR 74.2205(b) states: "D&amp;C Green No. 5 may be safely used for coloring cosmetics generally, including cosmetics intended for use in the area of the eye, in amounts consistent with current good manufacturing practice." [2].
Use limit: no percentage is stated; the amount is consistent with good manufacturing practice [2].
21 CFR 74.2205(a) states: "The color additive D&amp;C Green No. 5 shall conform in identity and specifications to the requirements of § 74.1205 (a)(1) and (b)(2)." [1].
21 CFR 74.2205(c) states: "The label of the color additive shall conform to the requirements of § 70.25 of this chapter." [3].
21 CFR 74.2205(d) states: "All batches of D&amp;C Green No. 5 shall be certified in accordance with regulations in part 80 of this chapter." [4].
21 CFR 82.1205 states: "The color additive D&amp;C Green No. 5 shall conform in identity and specifications to the requirements of § 74.1205(a)(1) and (b)(2) of this chapter." [5].
21 CFR 70.3(s) states: "The term area of the eye means the area enclosed with in the circumference of the supra-orbital ridge and the infra-orbital ridge, including the eyebrow, the skin below the eyebrow, the eyelids and the eyelashes, and conjunctival sac of the eye, the eyeball, and the soft areolar tissue that lies within the perimeter of the infra-orbital ridge." [6].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[7].</t>
        </is>
      </c>
      <c r="E28" s="2" t="inlineStr">
        <is>
          <t>PASS</t>
        </is>
      </c>
      <c r="F28" s="2" t="inlineStr">
        <is>
          <t>Correctly finds that both the mascara and the body wash are permitted, since 74.2205(b) covers cosmetics generally including the eye area under current GMP. It covers certification (74.2205(d)) and labeling (74.2205(c)). Writing 'good manufacturing practice' in place of 'current GMP' is a minor slip.</t>
        </is>
      </c>
      <c r="G28" s="3" t="n">
        <v>13.9</v>
      </c>
      <c r="H28" s="4" t="n"/>
      <c r="I28" s="4" t="n"/>
      <c r="J28" s="2" t="inlineStr">
        <is>
          <t>mlx-community/Qwen3-4B-Instruct-2507-4bit (rev 50d42775)</t>
        </is>
      </c>
      <c r="K28" s="2" t="inlineStr">
        <is>
          <t>BAAI/bge-small-en-v1.5 (dense section candidates for promotion)</t>
        </is>
      </c>
      <c r="L28" s="2" t="inlineStr">
        <is>
          <t>SUCCESS</t>
        </is>
      </c>
      <c r="M28" s="2" t="inlineStr"/>
      <c r="N28" s="2" t="inlineStr">
        <is>
          <t>Expected CFR section(s) 74.2205: all in evidence; cited in answer: 74.2205. Evidence (7): 21 CFR 74.2205(a) [exact]; 21 CFR 74.2205(b) [exact]; 21 CFR 74.2205(c) [exact]; 21 CFR 74.2205(d) [exact]; 21 CFR 82.1205 [exact]; 21 CFR 70.3(s) [exact]; 21 CFR 82.1050 [exact]. Query type None; semantic fallback not invoked.</t>
        </is>
      </c>
      <c r="O28" s="2" t="n">
        <v>27</v>
      </c>
      <c r="P28" s="2" t="inlineStr">
        <is>
          <t>74</t>
        </is>
      </c>
      <c r="Q28" s="2" t="inlineStr">
        <is>
          <t>Applicability</t>
        </is>
      </c>
      <c r="R28" s="2" t="inlineStr">
        <is>
          <t>Basic</t>
        </is>
      </c>
      <c r="S28" s="2" t="inlineStr">
        <is>
          <t>21 CFR 74.2205(b), (c), (d)</t>
        </is>
      </c>
      <c r="T28" s="2" t="n">
        <v>1</v>
      </c>
      <c r="U28" s="2" t="n">
        <v>0</v>
      </c>
      <c r="V28" s="2" t="n">
        <v>2</v>
      </c>
      <c r="W28" s="2" t="n">
        <v>2</v>
      </c>
      <c r="X28" s="2" t="n">
        <v>1</v>
      </c>
      <c r="Y28" s="2" t="inlineStr">
        <is>
          <t>Fallback: composed_from_listing</t>
        </is>
      </c>
      <c r="Z28" s="2" t="inlineStr">
        <is>
          <t>initial True -&gt; final True; fallback composed_from_listing</t>
        </is>
      </c>
      <c r="AA28" s="2" t="inlineStr">
        <is>
          <t>[2] = 21 CFR 74.2205(b); [1] = 21 CFR 74.2205(a); [3] = 21 CFR 74.2205(c); [4] = 21 CFR 74.2205(d); [5] = 21 CFR 82.1205; [6] = 21 CFR 70.3(s); [7] = 21 CFR 82.1050</t>
        </is>
      </c>
      <c r="AB28" s="2" t="n"/>
      <c r="AC28" s="2" t="n"/>
      <c r="AD28" s="2" t="n"/>
      <c r="AE28" s="3" t="n"/>
      <c r="AF28" s="3" t="n"/>
      <c r="AG28" s="3" t="n"/>
      <c r="AH28" s="3" t="n"/>
      <c r="AI28" s="2" t="inlineStr">
        <is>
          <t>input tokens not reported (model not called); output tokens not reported (model not called)</t>
        </is>
      </c>
    </row>
    <row r="29">
      <c r="A29" s="2" t="inlineStr">
        <is>
          <t>COS-74.2206-Q1</t>
        </is>
      </c>
      <c r="B29" s="2" t="inlineStr">
        <is>
          <t>We're a private-label manufacturer formulating a tinted foot cream. Our supplier offers D&amp;C Green No. 6. Can we use it, is there a use limit, and does the color need FDA certification?</t>
        </is>
      </c>
      <c r="C29" s="2" t="inlineStr">
        <is>
          <t>Yes. § 74.2206(b) permits D&amp;C Green No. 6 for coloring externally applied cosmetics in amounts consistent with good manufacturing practice; no numeric limit is set. A foot cream is applied only to external body parts, not lips or mucous membrane (§ 70.3(v)). All batches must be certified under part 80 (§ 74.2206(d)); the color additive label must conform to § 70.25 (§ 74.2206(c)).</t>
        </is>
      </c>
      <c r="D29" s="2" t="inlineStr">
        <is>
          <t>Foot cream: permitted.
21 CFR 74.2206(b) states: "D&amp;C Green No. 6 may be safely used for coloring externally applied cosmetics in amounts consistent with good manufacturing practice." [2].
Use limit: no percentage is stated; the amount is consistent with good manufacturing practice [2].
21 CFR 74.2206(a) states: "The color additive D&amp;C Green No. 6 shall conform in identity and specifications to the requirements of § 74.1206 (a) and (b)." [1].
21 CFR 74.2206(c) states: "The label of the color additive shall conform to the requirements of § 70.25 of this chapter." [3].
21 CFR 74.2206(d) states: "All batches of D&amp;C Green No. 6 shall be certified in accordance with regulations in part 80 of this chapter." [4].
21 CFR 82.1206 states: "The color additive D&amp;C Green No. 6 shall conform in identity and specifications to the requirements of § 74.1206 (a) and (b) of this chapter. D&amp;C Green No. 6 is restricted to use in externally applied drugs and cosmetics." [5].
21 CFR 70.3(v) states: "The terms externally applied drugs and externally applied cosmetics mean drugs or cosmetics applied only to external parts of the body and not to the lips or any body surface covered by mucous membrane." [6].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[7].</t>
        </is>
      </c>
      <c r="E29" s="2" t="inlineStr">
        <is>
          <t>PASS</t>
        </is>
      </c>
      <c r="F29" s="2" t="inlineStr">
        <is>
          <t>Says the foot cream use is permitted under 74.2206(b) with a GMP amount and no numeric limit, with 70.3(v) as the basis. It covers certification (74.2206(d)) and the 70.25 label (74.2206(c)). The 82.1206 restriction to external use is an accurate extra.</t>
        </is>
      </c>
      <c r="G29" s="3" t="n">
        <v>13.8</v>
      </c>
      <c r="H29" s="4" t="n"/>
      <c r="I29" s="4" t="n"/>
      <c r="J29" s="2" t="inlineStr">
        <is>
          <t>mlx-community/Qwen3-4B-Instruct-2507-4bit (rev 50d42775)</t>
        </is>
      </c>
      <c r="K29" s="2" t="inlineStr">
        <is>
          <t>BAAI/bge-small-en-v1.5 (dense section candidates for promotion)</t>
        </is>
      </c>
      <c r="L29" s="2" t="inlineStr">
        <is>
          <t>SUCCESS</t>
        </is>
      </c>
      <c r="M29" s="2" t="inlineStr"/>
      <c r="N29" s="2" t="inlineStr">
        <is>
          <t>Expected CFR section(s) 70.3, 74.2206: all in evidence; cited in answer: 70.3, 74.2206. Evidence (7): 21 CFR 74.2206(a) [exact]; 21 CFR 74.2206(b) [exact]; 21 CFR 74.2206(c) [exact]; 21 CFR 74.2206(d) [exact]; 21 CFR 82.1206 [exact]; 21 CFR 70.3(v) [exact]; 21 CFR 82.1050 [exact]. Query type None; semantic fallback not invoked.</t>
        </is>
      </c>
      <c r="O29" s="2" t="n">
        <v>28</v>
      </c>
      <c r="P29" s="2" t="inlineStr">
        <is>
          <t>74</t>
        </is>
      </c>
      <c r="Q29" s="2" t="inlineStr">
        <is>
          <t>Applicability</t>
        </is>
      </c>
      <c r="R29" s="2" t="inlineStr">
        <is>
          <t>Basic</t>
        </is>
      </c>
      <c r="S29" s="2" t="inlineStr">
        <is>
          <t>21 CFR 74.2206(b), (c), (d); 21 CFR 70.3(v)</t>
        </is>
      </c>
      <c r="T29" s="2" t="n">
        <v>1</v>
      </c>
      <c r="U29" s="2" t="n">
        <v>0</v>
      </c>
      <c r="V29" s="2" t="n">
        <v>2</v>
      </c>
      <c r="W29" s="2" t="n">
        <v>2</v>
      </c>
      <c r="X29" s="2" t="n">
        <v>1</v>
      </c>
      <c r="Y29" s="2" t="inlineStr">
        <is>
          <t>Fallback: composed_from_listing</t>
        </is>
      </c>
      <c r="Z29" s="2" t="inlineStr">
        <is>
          <t>initial True -&gt; final True; fallback composed_from_listing</t>
        </is>
      </c>
      <c r="AA29" s="2" t="inlineStr">
        <is>
          <t>[2] = 21 CFR 74.2206(b); [1] = 21 CFR 74.2206(a); [3] = 21 CFR 74.2206(c); [4] = 21 CFR 74.2206(d); [5] = 21 CFR 82.1206; [6] = 21 CFR 70.3(v); [7] = 21 CFR 82.1050</t>
        </is>
      </c>
      <c r="AB29" s="2" t="n"/>
      <c r="AC29" s="2" t="n"/>
      <c r="AD29" s="2" t="n"/>
      <c r="AE29" s="3" t="n"/>
      <c r="AF29" s="3" t="n"/>
      <c r="AG29" s="3" t="n"/>
      <c r="AH29" s="3" t="n"/>
      <c r="AI29" s="2" t="inlineStr">
        <is>
          <t>input tokens not reported (model not called); output tokens not reported (model not called)</t>
        </is>
      </c>
    </row>
    <row r="30">
      <c r="A30" s="2" t="inlineStr">
        <is>
          <t>COS-74.2255-Q1</t>
        </is>
      </c>
      <c r="B30" s="2" t="inlineStr">
        <is>
          <t>We make a lipstick, a mouthwash and a body lotion. Can D&amp;C Orange No. 5 be used in each, and are there limits?</t>
        </is>
      </c>
      <c r="C30" s="2" t="inlineStr">
        <is>
          <t>Yes. § 74.2255(b) permits mouthwashes and dentifrices that are ingested cosmetics and externally applied cosmetics in amounts consistent with current good manufacturing practice, and lipsticks and other lip cosmetics in amounts not exceeding 5.0 percent by weight of the finished cosmetic product. All batches must be certified under part 80 (§ 74.2255(d)); label per § 70.25 (§ 74.2255(c)).</t>
        </is>
      </c>
      <c r="D30" s="2" t="inlineStr">
        <is>
          <t>D&amp;C Orange No. 5 may be used in lipstick, mouthwash, and body lotion, with the following restrictions:
- In lipstick: Yes, up to 5.0 percent by weight of the finished product [2].  
- In mouthwash: Yes, for coloring mouthwashes as part of ingested cosmetics, in amounts consistent with current good manufacturing practice [6].  
- In body lotion (externally applied cosmetic): Yes, in amounts consistent with current good manufacturing practice [6].
21 CFR 70.3(v) defines "externally applied drugs and externally applied cosmetics" as those applied to external parts of the body and not to the lips or any body surface covered by mucous membrane. This definition supports that body lotions (as externally applied cosmetics) are included in the scope of use for D&amp;C Orange No. 5 [7].
21 CFR 74.2255(a): The color additive D&amp;C Orange No. 5 shall conform in identity and specifications to the requirements of § 74.1255 (a)(1) and (b). [1]  
21 CFR 74.2255(b): D&amp;C Orange No. 5 may be safely used for coloring mouthwashes and dentifrices that are ingested cosmetics in amounts consistent with current good manufacturing practice. D&amp;C Orange No. 5 may be safely used for coloring lipsticks and other cosmetics intended to be applied to the lips in amounts not exceeding 5.0 percent by weight of the finished cosmetic products. D&amp;C Orange No. 5 may be safely used for coloring externally applied cosmetics in amounts consistent with current good manufacturing practice. [2]  
21 CFR 74.2255(c): The label of the color additive shall conform to the requirements of § 70.25 of this chapter. [3]  
21 CFR 74.2255(d): All batches of D&amp;C Orange No. 5 shall be certified in accordance with regulations in part 80 of this chapter. [4]  
21 CFR 82.1255(a): The color additive D&amp;C Orange No. 5 shall conform in identity and specifications to the requirements of § 74.1255(a)(1) and (b) of this chapter. D&amp;C Orange No. 5 is restricted to the uses described in this section. [5]  
21 CFR 82.1255(b): The color additive D&amp;C Orange No. 5 may be safely used for coloring externally applied drugs in amounts not exceeding 5 milligrams per daily dose of the drug. The color additive D&amp;C Orange No. 5 may be safely used for coloring lipsticks and other cosmetics intended to be applied to the lips in amounts not exceeding 5.0 percent by weight of the finished cosmetic products, and for coloring mouthwashes, dentifrices, and externally applied cosmetics in amounts consistent with current good manufacturing practice. [6]  
21 CFR 82.1050: A batch of a straight color listed in this subpart may be certified, in accordance with the provisions of this part, for use only in drugs and cosmetics, if such batch conforms to the requirements of § 82.5 and to the specifications set forth in this subpart for such color. [8]</t>
        </is>
      </c>
      <c r="E30" s="2" t="inlineStr">
        <is>
          <t>PASS</t>
        </is>
      </c>
      <c r="F30" s="2" t="inlineStr">
        <is>
          <t>Applies the right limit to each product: lipstick up to 5.0% by weight, and mouthwash (as an ingested cosmetic) and body lotion in GMP amounts. This matches 74.2255(b), which it quotes in full. It also gives (c) labeling and (d) certification. The 82.1255(b) citation used for mouthwash and lotion is a real provision whose text supports those claims.</t>
        </is>
      </c>
      <c r="G30" s="3" t="n">
        <v>83.90000000000001</v>
      </c>
      <c r="H30" s="4" t="n">
        <v>2708</v>
      </c>
      <c r="I30" s="4" t="n">
        <v>705</v>
      </c>
      <c r="J30" s="2" t="inlineStr">
        <is>
          <t>mlx-community/Qwen3-4B-Instruct-2507-4bit (rev 50d42775)</t>
        </is>
      </c>
      <c r="K30" s="2" t="inlineStr">
        <is>
          <t>BAAI/bge-small-en-v1.5 (dense section candidates for promotion)</t>
        </is>
      </c>
      <c r="L30" s="2" t="inlineStr">
        <is>
          <t>SUCCESS</t>
        </is>
      </c>
      <c r="M30" s="2" t="inlineStr"/>
      <c r="N30" s="2" t="inlineStr">
        <is>
          <t>Expected CFR section(s) 74.2255: all in evidence; cited in answer: 74.2255. Evidence (8): 21 CFR 74.2255(a) [exact]; 21 CFR 74.2255(b) [exact]; 21 CFR 74.2255(c) [exact]; 21 CFR 74.2255(d) [exact]; 21 CFR 82.1255(a) [exact]; 21 CFR 82.1255(b) [exact]; 21 CFR 70.3(v) [exact]; 21 CFR 82.1050 [exact]. Query type None; semantic fallback not invoked.</t>
        </is>
      </c>
      <c r="O30" s="2" t="n">
        <v>29</v>
      </c>
      <c r="P30" s="2" t="inlineStr">
        <is>
          <t>74</t>
        </is>
      </c>
      <c r="Q30" s="2" t="inlineStr">
        <is>
          <t>Specific Requirement</t>
        </is>
      </c>
      <c r="R30" s="2" t="inlineStr">
        <is>
          <t>Intermediate</t>
        </is>
      </c>
      <c r="S30" s="2" t="inlineStr">
        <is>
          <t>21 CFR 74.2255(b), (c), (d)</t>
        </is>
      </c>
      <c r="T30" s="2" t="n">
        <v>1</v>
      </c>
      <c r="U30" s="2" t="n">
        <v>0</v>
      </c>
      <c r="V30" s="2" t="n">
        <v>2</v>
      </c>
      <c r="W30" s="2" t="n">
        <v>2</v>
      </c>
      <c r="X30" s="2" t="n">
        <v>1</v>
      </c>
      <c r="Y30" s="2" t="inlineStr">
        <is>
          <t>Generated answer</t>
        </is>
      </c>
      <c r="Z30" s="2" t="inlineStr">
        <is>
          <t>initial True -&gt; final True</t>
        </is>
      </c>
      <c r="AA30" s="2" t="inlineStr">
        <is>
          <t>[2] = 21 CFR 74.2255(b); [6] = 21 CFR 82.1255(b); [7] = 21 CFR 70.3(v); [1] = 21 CFR 74.2255(a); [3] = 21 CFR 74.2255(c); [4] = 21 CFR 74.2255(d); [5] = 21 CFR 82.1255(a); [8] = 21 CFR 82.1050</t>
        </is>
      </c>
      <c r="AB30" s="2" t="n"/>
      <c r="AC30" s="2" t="n"/>
      <c r="AD30" s="2" t="n"/>
      <c r="AE30" s="3" t="n"/>
      <c r="AF30" s="3" t="n"/>
      <c r="AG30" s="3" t="n"/>
      <c r="AH30" s="3" t="n"/>
      <c r="AI30" s="2" t="inlineStr"/>
    </row>
    <row r="31">
      <c r="A31" s="2" t="inlineStr">
        <is>
          <t>COS-74.2260-Q1</t>
        </is>
      </c>
      <c r="B31" s="2" t="inlineStr">
        <is>
          <t>We're a 12-person contract filler formulating a tinted body lotion. Our supplier offers D&amp;C Orange No. 10. Can we use it, is there a use limit, and does the color need FDA certification?</t>
        </is>
      </c>
      <c r="C31" s="2" t="inlineStr">
        <is>
          <t>Yes. § 74.2260(b) permits D&amp;C Orange No. 10 for coloring externally applied cosmetics in amounts consistent with good manufacturing practice; no numeric limit. A body lotion is applied only to external body parts, not lips or mucous membrane (§ 70.3(v)). Batches must be certified under part 80 (§ 74.2260(d), which as printed names "D&amp;C Orange No. 11", an apparent misprint); the label must conform to § 70.25 (§ 74.2260(c)).</t>
        </is>
      </c>
      <c r="D31" s="2" t="inlineStr">
        <is>
          <t>Body lotion: permitted.
21 CFR 74.2260(b) states: "D&amp;C Orange No. 10 may be safely used for coloring externally applied cosmetics in amounts consistent with good manufacturing practice." [2].
Use limit: no percentage is stated; the amount is consistent with good manufacturing practice [2].
21 CFR 74.2260(a) states: "The color additive D&amp;C Orange No. 10 shall conform in identity and specifications to the requirements of § 74.1260(a)(1) and (b)." [1].
21 CFR 74.2260(c) states: "The label of the color additive shall conform to the requirements of § 70.25 of this chapter." [3].
21 CFR 74.2260(d) states: "All batches of D&amp;C Orange No. 11 shall be certified in accordance with regulations in part 80 of this chapter." [4].
21 CFR 82.1260 states: "The color additive D&amp;C Orange No. 10 shall conform in identity and specifications to the requirements to § 74.1260(a)(1) and (b) of this chapter. D&amp;C Orange No. 10 is restricted to use in externally applied drugs and cosmetics." [5].
21 CFR 70.3(v) states: "The terms externally applied drugs and externally applied cosmetics mean drugs or cosmetics applied only to external parts of the body and not to the lips or any body surface covered by mucous membrane." [6].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[7].</t>
        </is>
      </c>
      <c r="E31" s="2" t="inlineStr">
        <is>
          <t>PARTIALLY FAIL</t>
        </is>
      </c>
      <c r="F31" s="2" t="inlineStr">
        <is>
          <t>Gets permitted use, the GMP amount and the 70.3(v) basis right. However, it quotes 74.2260(d) as printed ('D&amp;C Orange No. 11') without flagging the misprint, and it never says plainly that D&amp;C Orange No. 10 needs certification. The certification answer is left ambiguous, and the key's misprint element is missing.</t>
        </is>
      </c>
      <c r="G31" s="3" t="n">
        <v>13.8</v>
      </c>
      <c r="H31" s="4" t="n"/>
      <c r="I31" s="4" t="n"/>
      <c r="J31" s="2" t="inlineStr">
        <is>
          <t>mlx-community/Qwen3-4B-Instruct-2507-4bit (rev 50d42775)</t>
        </is>
      </c>
      <c r="K31" s="2" t="inlineStr">
        <is>
          <t>BAAI/bge-small-en-v1.5 (dense section candidates for promotion)</t>
        </is>
      </c>
      <c r="L31" s="2" t="inlineStr">
        <is>
          <t>SUCCESS</t>
        </is>
      </c>
      <c r="M31" s="2" t="inlineStr"/>
      <c r="N31" s="2" t="inlineStr">
        <is>
          <t>Expected CFR section(s) 70.3, 74.2260: all in evidence; cited in answer: 70.3, 74.2260. Evidence (7): 21 CFR 74.2260(a) [exact]; 21 CFR 74.2260(b) [exact]; 21 CFR 74.2260(c) [exact]; 21 CFR 74.2260(d) [exact]; 21 CFR 82.1260 [exact]; 21 CFR 70.3(v) [exact]; 21 CFR 82.1050 [exact]. Query type None; semantic fallback not invoked.</t>
        </is>
      </c>
      <c r="O31" s="2" t="n">
        <v>30</v>
      </c>
      <c r="P31" s="2" t="inlineStr">
        <is>
          <t>74</t>
        </is>
      </c>
      <c r="Q31" s="2" t="inlineStr">
        <is>
          <t>Applicability</t>
        </is>
      </c>
      <c r="R31" s="2" t="inlineStr">
        <is>
          <t>Basic</t>
        </is>
      </c>
      <c r="S31" s="2" t="inlineStr">
        <is>
          <t>21 CFR 74.2260(b), (c), (d); 21 CFR 70.3(v)</t>
        </is>
      </c>
      <c r="T31" s="2" t="n">
        <v>1</v>
      </c>
      <c r="U31" s="2" t="n">
        <v>0</v>
      </c>
      <c r="V31" s="2" t="n">
        <v>1</v>
      </c>
      <c r="W31" s="2" t="n">
        <v>1</v>
      </c>
      <c r="X31" s="2" t="n">
        <v>1</v>
      </c>
      <c r="Y31" s="2" t="inlineStr">
        <is>
          <t>Fallback: composed_from_listing</t>
        </is>
      </c>
      <c r="Z31" s="2" t="inlineStr">
        <is>
          <t>initial True -&gt; final True; fallback composed_from_listing</t>
        </is>
      </c>
      <c r="AA31" s="2" t="inlineStr">
        <is>
          <t>[2] = 21 CFR 74.2260(b); [1] = 21 CFR 74.2260(a); [3] = 21 CFR 74.2260(c); [4] = 21 CFR 74.2260(d); [5] = 21 CFR 82.1260; [6] = 21 CFR 70.3(v); [7] = 21 CFR 82.1050</t>
        </is>
      </c>
      <c r="AB31" s="2" t="n"/>
      <c r="AC31" s="2" t="n"/>
      <c r="AD31" s="2" t="n"/>
      <c r="AE31" s="3" t="n"/>
      <c r="AF31" s="3" t="n"/>
      <c r="AG31" s="3" t="n"/>
      <c r="AH31" s="3" t="n"/>
      <c r="AI31" s="2" t="inlineStr">
        <is>
          <t>input tokens not reported (model not called); output tokens not reported (model not called)</t>
        </is>
      </c>
    </row>
    <row r="32">
      <c r="A32" s="2" t="inlineStr">
        <is>
          <t>COS-74.2328-Q1</t>
        </is>
      </c>
      <c r="B32" s="2" t="inlineStr">
        <is>
          <t>Our indie startup is launching a nail lacquer and a matching eyeliner, both colored with D&amp;C Red No. 28. Is D&amp;C Red No. 28 permitted in both, and does it need certification?</t>
        </is>
      </c>
      <c r="C32" s="2" t="inlineStr">
        <is>
          <t>§ 74.2328(b) permits D&amp;C Red No. 28 for coloring cosmetics generally in amounts consistent with current good manufacturing practice, so the nail lacquer is covered. The section does not specifically provide for eye-area use, so under § 70.5(a) the eyeliner is not authorized. All batches must be certified under part 80 (§ 74.2328(d)); the color additive label must conform to § 70.25 (§ 74.2328(c)).</t>
        </is>
      </c>
      <c r="D32" s="2" t="inlineStr">
        <is>
          <t>Nail lacquer: permitted.
21 CFR 74.2328(b) states: "D&amp;C Red No. 28 may be safely used for coloring cosmetics generally in amounts consistent with current good manufacturing practice." [2].
Eyeliner: not permitted.
21 CFR 70.3(s) states: "The term area of the eye means the area enclosed with in the circumference of the supra-orbital ridge and the infra-orbital ridge, including the eyebrow, the skin below the eyebrow, the eyelids and the eyelashes, and conjunctival sac of the eye, the eyeball, and the soft areolar tissue that lies within the perimeter of the infra-orbital ridge." [6].
21 CFR 70.5(a) states: "No listing or certification of a color additive shall be considered to authorize the use of any such color additive in any article intended for use in the area of the eye unless such listing or certification of such color additive specifically provides for such use." [7].
Use limit: no percentage is stated; the amount is consistent with good manufacturing practice [2].
21 CFR 74.2328(a) states: "The color additive D&amp;C Red No. 28 shall conform in identity and specifications to the requirements of § 74.1328 (a)(1) and (b)." [1].
21 CFR 74.2328(c) states: "The label of the color additive shall conform to the requirements of § 70.25 of this chapter." [3].
21 CFR 74.2328(d) states: "All batches of D&amp;C Red No. 28 shall be certified in accordance with regulations in part 80 of this chapter." [4].
21 CFR 82.1328 states: "The color additive D&amp;C Red No. 28 shall conform in identity and specifications to the requirements of § 74.1328 (a)(1) and (b) of this chapter." [5].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[8].</t>
        </is>
      </c>
      <c r="E32" s="2" t="inlineStr">
        <is>
          <t>PASS</t>
        </is>
      </c>
      <c r="F32" s="2" t="inlineStr">
        <is>
          <t>Correctly says the nail lacquer is permitted under 74.2328(b), which covers cosmetics generally under current GMP. It correctly says the eyeliner is not permitted, because under 70.5(a) a listing must specifically provide for eye-area use (with 70.3(s) defining that area). It covers certification (74.2328(d)) and labeling (74.2328(c)).</t>
        </is>
      </c>
      <c r="G32" s="3" t="n">
        <v>13.5</v>
      </c>
      <c r="H32" s="4" t="n"/>
      <c r="I32" s="4" t="n"/>
      <c r="J32" s="2" t="inlineStr">
        <is>
          <t>mlx-community/Qwen3-4B-Instruct-2507-4bit (rev 50d42775)</t>
        </is>
      </c>
      <c r="K32" s="2" t="inlineStr">
        <is>
          <t>BAAI/bge-small-en-v1.5 (dense section candidates for promotion)</t>
        </is>
      </c>
      <c r="L32" s="2" t="inlineStr">
        <is>
          <t>SUCCESS</t>
        </is>
      </c>
      <c r="M32" s="2" t="inlineStr"/>
      <c r="N32" s="2" t="inlineStr">
        <is>
          <t>Expected CFR section(s) 70.5, 74.2328: all in evidence; cited in answer: 70.5, 74.2328. Evidence (8): 21 CFR 74.2328(a) [exact]; 21 CFR 74.2328(b) [exact]; 21 CFR 74.2328(c) [exact]; 21 CFR 74.2328(d) [exact]; 21 CFR 82.1328 [exact]; 21 CFR 70.3(s) [exact]; 21 CFR 70.5(a) [exact]; 21 CFR 82.1050 [exact]. Query type None; semantic fallback not invoked.</t>
        </is>
      </c>
      <c r="O32" s="2" t="n">
        <v>31</v>
      </c>
      <c r="P32" s="2" t="inlineStr">
        <is>
          <t>74</t>
        </is>
      </c>
      <c r="Q32" s="2" t="inlineStr">
        <is>
          <t>Applicability</t>
        </is>
      </c>
      <c r="R32" s="2" t="inlineStr">
        <is>
          <t>Intermediate</t>
        </is>
      </c>
      <c r="S32" s="2" t="inlineStr">
        <is>
          <t>21 CFR 74.2328(b), (c), (d); 21 CFR 70.5(a)</t>
        </is>
      </c>
      <c r="T32" s="2" t="n">
        <v>1</v>
      </c>
      <c r="U32" s="2" t="n">
        <v>0</v>
      </c>
      <c r="V32" s="2" t="n">
        <v>2</v>
      </c>
      <c r="W32" s="2" t="n">
        <v>2</v>
      </c>
      <c r="X32" s="2" t="n">
        <v>1</v>
      </c>
      <c r="Y32" s="2" t="inlineStr">
        <is>
          <t>Fallback: composed_from_listing</t>
        </is>
      </c>
      <c r="Z32" s="2" t="inlineStr">
        <is>
          <t>initial True -&gt; final True; fallback composed_from_listing</t>
        </is>
      </c>
      <c r="AA32" s="2" t="inlineStr">
        <is>
          <t>[2] = 21 CFR 74.2328(b); [6] = 21 CFR 70.3(s); [7] = 21 CFR 70.5(a); [1] = 21 CFR 74.2328(a); [3] = 21 CFR 74.2328(c); [4] = 21 CFR 74.2328(d); [5] = 21 CFR 82.1328; [8] = 21 CFR 82.1050</t>
        </is>
      </c>
      <c r="AB32" s="2" t="n"/>
      <c r="AC32" s="2" t="n"/>
      <c r="AD32" s="2" t="n"/>
      <c r="AE32" s="3" t="n"/>
      <c r="AF32" s="3" t="n"/>
      <c r="AG32" s="3" t="n"/>
      <c r="AH32" s="3" t="n"/>
      <c r="AI32" s="2" t="inlineStr">
        <is>
          <t>input tokens not reported (model not called); output tokens not reported (model not called)</t>
        </is>
      </c>
    </row>
    <row r="33">
      <c r="A33" s="2" t="inlineStr">
        <is>
          <t>COS-74.2330-Q1</t>
        </is>
      </c>
      <c r="B33" s="2" t="inlineStr">
        <is>
          <t>Our private-label line is launching a lip liner and a matching eye shadow, both colored with D&amp;C Red No. 30. Is D&amp;C Red No. 30 permitted in both, and does it need certification?</t>
        </is>
      </c>
      <c r="C33" s="2" t="inlineStr">
        <is>
          <t>§ 74.2330(b) permits D&amp;C Red No. 30 for coloring cosmetics generally in amounts consistent with current good manufacturing practice, so the lip liner is covered. The section does not specifically provide for eye-area use, so under § 70.5(a) the eye shadow is not authorized. All batches must be certified under part 80 (§ 74.2330(d)); the color additive label must conform to § 70.25 (§ 74.2330(c)).</t>
        </is>
      </c>
      <c r="D33" s="2" t="inlineStr">
        <is>
          <t>Lip liner: permitted.
21 CFR 74.2330(b) states: "D&amp;C Red No. 30 may be safely used for coloring cosmetics generally in amounts consistent with current good manufacturing practice." [2].
Eye shadow: not permitted.
21 CFR 70.3(s) states: "The term area of the eye means the area enclosed with in the circumference of the supra-orbital ridge and the infra-orbital ridge, including the eyebrow, the skin below the eyebrow, the eyelids and the eyelashes, and conjunctival sac of the eye, the eyeball, and the soft areolar tissue that lies within the perimeter of the infra-orbital ridge." [6].
21 CFR 70.5(a) states: "No listing or certification of a color additive shall be considered to authorize the use of any such color additive in any article intended for use in the area of the eye unless such listing or certification of such color additive specifically provides for such use." [7].
Use limit: no percentage is stated; the amount is consistent with good manufacturing practice [2].
21 CFR 74.2330(a) states: "The color additive D&amp;C Red No. 30 shall conform in identity and specifications to the requirements of § 74.1330 (a)(1) and (b)." [1].
21 CFR 74.2330(c) states: "The label of the color additive shall conform to the requirements of § 70.25 of this chapter." [3].
21 CFR 74.2330(d) states: "All batches of D&amp;C Red No. 30 shall be certified in accordance with regulations in part 80 of this chapter." [4].
21 CFR 82.1330 states: "The color additive D&amp;C Red No. 30 shall conform in identity and specifications to the requirements of § 74.1330 (a)(1) and (b) of this chapter." [5].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[8].</t>
        </is>
      </c>
      <c r="E33" s="2" t="inlineStr">
        <is>
          <t>PASS</t>
        </is>
      </c>
      <c r="F33" s="2" t="inlineStr">
        <is>
          <t>Correctly says the lip liner is permitted under 74.2330(b), which covers cosmetics generally. It correctly says the eye shadow is not authorized under 70.5(a), with 70.3(s) for the eye area. It covers certification (74.2330(d)) and the 70.25 label (74.2330(c)), matching the key.</t>
        </is>
      </c>
      <c r="G33" s="3" t="n">
        <v>12.8</v>
      </c>
      <c r="H33" s="4" t="n"/>
      <c r="I33" s="4" t="n"/>
      <c r="J33" s="2" t="inlineStr">
        <is>
          <t>mlx-community/Qwen3-4B-Instruct-2507-4bit (rev 50d42775)</t>
        </is>
      </c>
      <c r="K33" s="2" t="inlineStr">
        <is>
          <t>BAAI/bge-small-en-v1.5 (dense section candidates for promotion)</t>
        </is>
      </c>
      <c r="L33" s="2" t="inlineStr">
        <is>
          <t>SUCCESS</t>
        </is>
      </c>
      <c r="M33" s="2" t="inlineStr"/>
      <c r="N33" s="2" t="inlineStr">
        <is>
          <t>Expected CFR section(s) 70.5, 74.2330: all in evidence; cited in answer: 70.5, 74.2330. Evidence (8): 21 CFR 74.2330(a) [exact]; 21 CFR 74.2330(b) [exact]; 21 CFR 74.2330(c) [exact]; 21 CFR 74.2330(d) [exact]; 21 CFR 82.1330 [exact]; 21 CFR 70.3(s) [exact]; 21 CFR 70.5(a) [exact]; 21 CFR 82.1050 [exact]. Query type None; semantic fallback not invoked.</t>
        </is>
      </c>
      <c r="O33" s="2" t="n">
        <v>32</v>
      </c>
      <c r="P33" s="2" t="inlineStr">
        <is>
          <t>74</t>
        </is>
      </c>
      <c r="Q33" s="2" t="inlineStr">
        <is>
          <t>Applicability</t>
        </is>
      </c>
      <c r="R33" s="2" t="inlineStr">
        <is>
          <t>Intermediate</t>
        </is>
      </c>
      <c r="S33" s="2" t="inlineStr">
        <is>
          <t>21 CFR 74.2330(b), (c), (d); 21 CFR 70.5(a)</t>
        </is>
      </c>
      <c r="T33" s="2" t="n">
        <v>1</v>
      </c>
      <c r="U33" s="2" t="n">
        <v>0</v>
      </c>
      <c r="V33" s="2" t="n">
        <v>2</v>
      </c>
      <c r="W33" s="2" t="n">
        <v>2</v>
      </c>
      <c r="X33" s="2" t="n">
        <v>1</v>
      </c>
      <c r="Y33" s="2" t="inlineStr">
        <is>
          <t>Fallback: composed_from_listing</t>
        </is>
      </c>
      <c r="Z33" s="2" t="inlineStr">
        <is>
          <t>initial True -&gt; final True; fallback composed_from_listing</t>
        </is>
      </c>
      <c r="AA33" s="2" t="inlineStr">
        <is>
          <t>[2] = 21 CFR 74.2330(b); [6] = 21 CFR 70.3(s); [7] = 21 CFR 70.5(a); [1] = 21 CFR 74.2330(a); [3] = 21 CFR 74.2330(c); [4] = 21 CFR 74.2330(d); [5] = 21 CFR 82.1330; [8] = 21 CFR 82.1050</t>
        </is>
      </c>
      <c r="AB33" s="2" t="n"/>
      <c r="AC33" s="2" t="n"/>
      <c r="AD33" s="2" t="n"/>
      <c r="AE33" s="3" t="n"/>
      <c r="AF33" s="3" t="n"/>
      <c r="AG33" s="3" t="n"/>
      <c r="AH33" s="3" t="n"/>
      <c r="AI33" s="2" t="inlineStr">
        <is>
          <t>input tokens not reported (model not called); output tokens not reported (model not called)</t>
        </is>
      </c>
    </row>
    <row r="34">
      <c r="A34" s="2" t="inlineStr">
        <is>
          <t>COS-74.2331-Q1</t>
        </is>
      </c>
      <c r="B34" s="2" t="inlineStr">
        <is>
          <t>We're an indie cosmetics startup formulating a tinted body butter. Our supplier offers D&amp;C Red No. 31. Can we use it, is there a use limit, and does the color need FDA certification?</t>
        </is>
      </c>
      <c r="C34" s="2" t="inlineStr">
        <is>
          <t>Yes. § 74.2331(b) permits D&amp;C Red No. 31 for coloring externally applied cosmetics in amounts consistent with good manufacturing practice; no numeric limit is set. A body butter is applied only to external body parts, not lips or mucous membrane (§ 70.3(v)). All batches must be certified under part 80 (§ 74.2331(d)); the color additive label must conform to § 70.25 (§ 74.2331(c)).</t>
        </is>
      </c>
      <c r="D34" s="2" t="inlineStr">
        <is>
          <t>Body butter: permitted.
21 CFR 74.2331(b) states: "D&amp;C Red No. 31 may be safely used for coloring externally applied cosmetics in amounts consistent with good manufacturing practice." [2].
Use limit: no percentage is stated; the amount is consistent with good manufacturing practice [2].
21 CFR 74.2331(a) states: "The color additive D&amp;C Red No. 31 shall conform in identity and specifications to the requirements of § 74.1331(a)(1) and (b)." [1].
21 CFR 74.2331(c) states: "The label of the color additive shall conform to the requirements of § 70.25 of this chapter." [3].
21 CFR 74.2331(d) states: "All batches of D&amp;C Red No. 31 shall be certified in accordance with regulations in part 80 of this chapter." [4].
21 CFR 82.1331 states: "The color additive D&amp;C Red No. 31 shall conform in identity and specifications to the requirements of § 74.1331(a)(1) and (b) of this chapter. D&amp;C Red No. 31 is restricted to use in externally applied drugs and cosmetics." [5].
21 CFR 70.3(v) states: "The terms externally applied drugs and externally applied cosmetics mean drugs or cosmetics applied only to external parts of the body and not to the lips or any body surface covered by mucous membrane." [6].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[7].</t>
        </is>
      </c>
      <c r="E34" s="2" t="inlineStr">
        <is>
          <t>PASS</t>
        </is>
      </c>
      <c r="F34" s="2" t="inlineStr">
        <is>
          <t>Says the body butter use is permitted under 74.2331(b) with a GMP amount and no numeric limit, with 70.3(v) as the basis. It covers certification (74.2331(d)) and labeling (74.2331(c)). All citations are correct.</t>
        </is>
      </c>
      <c r="G34" s="3" t="n">
        <v>12.5</v>
      </c>
      <c r="H34" s="4" t="n"/>
      <c r="I34" s="4" t="n"/>
      <c r="J34" s="2" t="inlineStr">
        <is>
          <t>mlx-community/Qwen3-4B-Instruct-2507-4bit (rev 50d42775)</t>
        </is>
      </c>
      <c r="K34" s="2" t="inlineStr">
        <is>
          <t>BAAI/bge-small-en-v1.5 (dense section candidates for promotion)</t>
        </is>
      </c>
      <c r="L34" s="2" t="inlineStr">
        <is>
          <t>SUCCESS</t>
        </is>
      </c>
      <c r="M34" s="2" t="inlineStr"/>
      <c r="N34" s="2" t="inlineStr">
        <is>
          <t>Expected CFR section(s) 70.3, 74.2331: all in evidence; cited in answer: 70.3, 74.2331. Evidence (7): 21 CFR 74.2331(a) [exact]; 21 CFR 74.2331(b) [exact]; 21 CFR 74.2331(c) [exact]; 21 CFR 74.2331(d) [exact]; 21 CFR 82.1331 [exact]; 21 CFR 70.3(v) [exact]; 21 CFR 82.1050 [exact]. Query type None; semantic fallback not invoked.</t>
        </is>
      </c>
      <c r="O34" s="2" t="n">
        <v>33</v>
      </c>
      <c r="P34" s="2" t="inlineStr">
        <is>
          <t>74</t>
        </is>
      </c>
      <c r="Q34" s="2" t="inlineStr">
        <is>
          <t>Applicability</t>
        </is>
      </c>
      <c r="R34" s="2" t="inlineStr">
        <is>
          <t>Basic</t>
        </is>
      </c>
      <c r="S34" s="2" t="inlineStr">
        <is>
          <t>21 CFR 74.2331(b), (c), (d); 21 CFR 70.3(v)</t>
        </is>
      </c>
      <c r="T34" s="2" t="n">
        <v>1</v>
      </c>
      <c r="U34" s="2" t="n">
        <v>0</v>
      </c>
      <c r="V34" s="2" t="n">
        <v>2</v>
      </c>
      <c r="W34" s="2" t="n">
        <v>2</v>
      </c>
      <c r="X34" s="2" t="n">
        <v>1</v>
      </c>
      <c r="Y34" s="2" t="inlineStr">
        <is>
          <t>Fallback: composed_from_listing</t>
        </is>
      </c>
      <c r="Z34" s="2" t="inlineStr">
        <is>
          <t>initial True -&gt; final True; fallback composed_from_listing</t>
        </is>
      </c>
      <c r="AA34" s="2" t="inlineStr">
        <is>
          <t>[2] = 21 CFR 74.2331(b); [1] = 21 CFR 74.2331(a); [3] = 21 CFR 74.2331(c); [4] = 21 CFR 74.2331(d); [5] = 21 CFR 82.1331; [6] = 21 CFR 70.3(v); [7] = 21 CFR 82.1050</t>
        </is>
      </c>
      <c r="AB34" s="2" t="n"/>
      <c r="AC34" s="2" t="n"/>
      <c r="AD34" s="2" t="n"/>
      <c r="AE34" s="3" t="n"/>
      <c r="AF34" s="3" t="n"/>
      <c r="AG34" s="3" t="n"/>
      <c r="AH34" s="3" t="n"/>
      <c r="AI34" s="2" t="inlineStr">
        <is>
          <t>input tokens not reported (model not called); output tokens not reported (model not called)</t>
        </is>
      </c>
    </row>
    <row r="35">
      <c r="A35" s="2" t="inlineStr">
        <is>
          <t>COS-74.2334-Q1</t>
        </is>
      </c>
      <c r="B35" s="2" t="inlineStr">
        <is>
          <t>We're a private-label manufacturer formulating a tinted body lotion. Our supplier offers D&amp;C Red No. 34. Can we use it, is there a use limit, and does the color need FDA certification?</t>
        </is>
      </c>
      <c r="C35" s="2" t="inlineStr">
        <is>
          <t>Yes. § 74.2334(b) permits D&amp;C Red No. 34 for coloring externally applied cosmetics in amounts consistent with good manufacturing practice; no numeric limit is set. A body lotion is applied only to external body parts, not lips or mucous membrane (§ 70.3(v)). All batches must be certified under part 80 (§ 74.2334(d)); the color additive label must conform to § 70.25 (§ 74.2334(c)).</t>
        </is>
      </c>
      <c r="D35" s="2" t="inlineStr">
        <is>
          <t>Body lotion: permitted.
21 CFR 74.2334(b) states: "D&amp;C Red No. 34 may be safely used for coloring externally applied cosmetics in amounts consistent with good manufacturing practice." [2].
Use limit: no percentage is stated; the amount is consistent with good manufacturing practice [2].
21 CFR 74.2334(a) states: "The color additive D&amp;C Red No. 34 shall conform in identity and specifications to the requirements of § 74.1334(a)(1) and (b)." [1].
21 CFR 74.2334(c) states: "The label of the color additive shall conform to the requirements of § 70.25 of this chapter." [3].
21 CFR 74.2334(d) states: "All batches of D&amp;C Red No. 34 shall be certified in accordance with regulations in part 80 of this chapter." [4].
21 CFR 82.1334 states: "Calcium salt of 3-hydroxy-4-[(1-sulfo-2 -naphthalenyl)azol-2-naphthalenecarboxylic acid." [5].
21 CFR 82.1334 states: "Sum of volatile matter (at 135 °C) and chlorides and sulfates (calculated as sodium salts), not more than 15 percent. 2-Amino-1-naphthalenesulfonic acid, calcium salt, not more than 0.2 percent. 3-Hydroxy-2-naphthoic acid, not more than 0.4 percent. Subsidiary colors, not more than 4 percent. Total color not less than 85 percent." [6].
21 CFR 70.3(v) states: "The terms externally applied drugs and externally applied cosmetics mean drugs or cosmetics applied only to external parts of the body and not to the lips or any body surface covered by mucous membrane." [7].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[8].</t>
        </is>
      </c>
      <c r="E35" s="2" t="inlineStr">
        <is>
          <t>PASS</t>
        </is>
      </c>
      <c r="F35" s="2" t="inlineStr">
        <is>
          <t>Says the body lotion use is permitted under 74.2334(b) with no numeric limit beyond GMP, with 70.3(v) as the basis. It covers certification (74.2334(d)) and the 70.25 label (74.2334(c)). The 82.1334 identity and specification quotes are extras that do no harm.</t>
        </is>
      </c>
      <c r="G35" s="3" t="n">
        <v>13</v>
      </c>
      <c r="H35" s="4" t="n"/>
      <c r="I35" s="4" t="n"/>
      <c r="J35" s="2" t="inlineStr">
        <is>
          <t>mlx-community/Qwen3-4B-Instruct-2507-4bit (rev 50d42775)</t>
        </is>
      </c>
      <c r="K35" s="2" t="inlineStr">
        <is>
          <t>BAAI/bge-small-en-v1.5 (dense section candidates for promotion)</t>
        </is>
      </c>
      <c r="L35" s="2" t="inlineStr">
        <is>
          <t>SUCCESS</t>
        </is>
      </c>
      <c r="M35" s="2" t="inlineStr"/>
      <c r="N35" s="2" t="inlineStr">
        <is>
          <t>Expected CFR section(s) 70.3, 74.2334: all in evidence; cited in answer: 70.3, 74.2334. Evidence (8): 21 CFR 74.2334(a) [exact]; 21 CFR 74.2334(b) [exact]; 21 CFR 74.2334(c) [exact]; 21 CFR 74.2334(d) [exact]; 21 CFR 82.1334 [exact]; 21 CFR 82.1334 [exact]; 21 CFR 70.3(v) [exact]; 21 CFR 82.1050 [exact]. Query type None; semantic fallback not invoked.</t>
        </is>
      </c>
      <c r="O35" s="2" t="n">
        <v>34</v>
      </c>
      <c r="P35" s="2" t="inlineStr">
        <is>
          <t>74</t>
        </is>
      </c>
      <c r="Q35" s="2" t="inlineStr">
        <is>
          <t>Applicability</t>
        </is>
      </c>
      <c r="R35" s="2" t="inlineStr">
        <is>
          <t>Basic</t>
        </is>
      </c>
      <c r="S35" s="2" t="inlineStr">
        <is>
          <t>21 CFR 74.2334(b), (c), (d); 21 CFR 70.3(v)</t>
        </is>
      </c>
      <c r="T35" s="2" t="n">
        <v>1</v>
      </c>
      <c r="U35" s="2" t="n">
        <v>0</v>
      </c>
      <c r="V35" s="2" t="n">
        <v>2</v>
      </c>
      <c r="W35" s="2" t="n">
        <v>2</v>
      </c>
      <c r="X35" s="2" t="n">
        <v>1</v>
      </c>
      <c r="Y35" s="2" t="inlineStr">
        <is>
          <t>Fallback: composed_from_listing</t>
        </is>
      </c>
      <c r="Z35" s="2" t="inlineStr">
        <is>
          <t>initial True -&gt; final True; fallback composed_from_listing</t>
        </is>
      </c>
      <c r="AA35" s="2" t="inlineStr">
        <is>
          <t>[2] = 21 CFR 74.2334(b); [1] = 21 CFR 74.2334(a); [3] = 21 CFR 74.2334(c); [4] = 21 CFR 74.2334(d); [5] = 21 CFR 82.1334; [6] = 21 CFR 82.1334; [7] = 21 CFR 70.3(v); [8] = 21 CFR 82.1050</t>
        </is>
      </c>
      <c r="AB35" s="2" t="n"/>
      <c r="AC35" s="2" t="n"/>
      <c r="AD35" s="2" t="n"/>
      <c r="AE35" s="3" t="n"/>
      <c r="AF35" s="3" t="n"/>
      <c r="AG35" s="3" t="n"/>
      <c r="AH35" s="3" t="n"/>
      <c r="AI35" s="2" t="inlineStr">
        <is>
          <t>input tokens not reported (model not called); output tokens not reported (model not called)</t>
        </is>
      </c>
    </row>
    <row r="36">
      <c r="A36" s="2" t="inlineStr">
        <is>
          <t>COS-74.2602-Q1</t>
        </is>
      </c>
      <c r="B36" s="2" t="inlineStr">
        <is>
          <t>We're an in-house R&amp;D lab formulating a tinted hand cream. Our supplier offers D&amp;C Violet No. 2. Can we use it, is there a use limit, and does the color need FDA certification?</t>
        </is>
      </c>
      <c r="C36" s="2" t="inlineStr">
        <is>
          <t>Yes. § 74.2602(b) permits D&amp;C Violet No. 2 for coloring externally applied cosmetics in amounts consistent with good manufacturing practice; no numeric limit is set. A hand cream is applied only to external body parts, not lips or mucous membrane (§ 70.3(v)). All batches must be certified under part 80 (§ 74.2602(d)); the color additive label must conform to § 70.25 (§ 74.2602(c)).</t>
        </is>
      </c>
      <c r="D36" s="2" t="inlineStr">
        <is>
          <t>Hand cream: permitted.
21 CFR 74.2602(b) states: "The color additive D&amp;C Violet No. 2 may be safely used for coloring externally applied cosmetics in amounts consistent with good manufacturing practice." [2].
Use limit: no percentage is stated; the amount is consistent with good manufacturing practice [2].
21 CFR 74.2602(a) states: "The color additive D&amp;C Violet No. 2 shall conform in identity and specifications to the requirements of § 74.1602(a)(1) and (b)." [1].
21 CFR 74.2602(c) states: "The label of the color additive shall conform to the requirements of § 70.25 of this chapter." [3].
21 CFR 74.2602(d) states: "All batches of D&amp;C Violet No. 2 shall be certified in accordance with regulations in part 80 of this chapter." [4].
21 CFR 82.1602 states: "The color additive D&amp;C Violet No. 2 shall conform in identity and specifications to the requirements of § 74.1602(a)(1) and (b) of this chapter." [5].
21 CFR 70.3(v) states: "The terms externally applied drugs and externally applied cosmetics mean drugs or cosmetics applied only to external parts of the body and not to the lips or any body surface covered by mucous membrane." [6].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[7].</t>
        </is>
      </c>
      <c r="E36" s="2" t="inlineStr">
        <is>
          <t>PASS</t>
        </is>
      </c>
      <c r="F36" s="2" t="inlineStr">
        <is>
          <t>Says the hand cream use is permitted under 74.2602(b) with a GMP amount and no numeric limit, with 70.3(v) as the basis. It covers certification (74.2602(d)) and labeling (74.2602(c)), matching every element of the key.</t>
        </is>
      </c>
      <c r="G36" s="3" t="n">
        <v>14.1</v>
      </c>
      <c r="H36" s="4" t="n"/>
      <c r="I36" s="4" t="n"/>
      <c r="J36" s="2" t="inlineStr">
        <is>
          <t>mlx-community/Qwen3-4B-Instruct-2507-4bit (rev 50d42775)</t>
        </is>
      </c>
      <c r="K36" s="2" t="inlineStr">
        <is>
          <t>BAAI/bge-small-en-v1.5 (dense section candidates for promotion)</t>
        </is>
      </c>
      <c r="L36" s="2" t="inlineStr">
        <is>
          <t>SUCCESS</t>
        </is>
      </c>
      <c r="M36" s="2" t="inlineStr"/>
      <c r="N36" s="2" t="inlineStr">
        <is>
          <t>Expected CFR section(s) 70.3, 74.2602: all in evidence; cited in answer: 70.3, 74.2602. Evidence (7): 21 CFR 74.2602(a) [exact]; 21 CFR 74.2602(b) [exact]; 21 CFR 74.2602(c) [exact]; 21 CFR 74.2602(d) [exact]; 21 CFR 82.1602 [exact]; 21 CFR 70.3(v) [exact]; 21 CFR 82.1050 [exact]. Query type None; semantic fallback not invoked.</t>
        </is>
      </c>
      <c r="O36" s="2" t="n">
        <v>35</v>
      </c>
      <c r="P36" s="2" t="inlineStr">
        <is>
          <t>74</t>
        </is>
      </c>
      <c r="Q36" s="2" t="inlineStr">
        <is>
          <t>Applicability</t>
        </is>
      </c>
      <c r="R36" s="2" t="inlineStr">
        <is>
          <t>Basic</t>
        </is>
      </c>
      <c r="S36" s="2" t="inlineStr">
        <is>
          <t>21 CFR 74.2602(b), (c), (d); 21 CFR 70.3(v)</t>
        </is>
      </c>
      <c r="T36" s="2" t="n">
        <v>1</v>
      </c>
      <c r="U36" s="2" t="n">
        <v>0</v>
      </c>
      <c r="V36" s="2" t="n">
        <v>2</v>
      </c>
      <c r="W36" s="2" t="n">
        <v>2</v>
      </c>
      <c r="X36" s="2" t="n">
        <v>1</v>
      </c>
      <c r="Y36" s="2" t="inlineStr">
        <is>
          <t>Fallback: composed_from_listing</t>
        </is>
      </c>
      <c r="Z36" s="2" t="inlineStr">
        <is>
          <t>initial True -&gt; final True; fallback composed_from_listing</t>
        </is>
      </c>
      <c r="AA36" s="2" t="inlineStr">
        <is>
          <t>[2] = 21 CFR 74.2602(b); [1] = 21 CFR 74.2602(a); [3] = 21 CFR 74.2602(c); [4] = 21 CFR 74.2602(d); [5] = 21 CFR 82.1602; [6] = 21 CFR 70.3(v); [7] = 21 CFR 82.1050</t>
        </is>
      </c>
      <c r="AB36" s="2" t="n"/>
      <c r="AC36" s="2" t="n"/>
      <c r="AD36" s="2" t="n"/>
      <c r="AE36" s="3" t="n"/>
      <c r="AF36" s="3" t="n"/>
      <c r="AG36" s="3" t="n"/>
      <c r="AH36" s="3" t="n"/>
      <c r="AI36" s="2" t="inlineStr">
        <is>
          <t>input tokens not reported (model not called); output tokens not reported (model not called)</t>
        </is>
      </c>
    </row>
    <row r="37">
      <c r="A37" s="2" t="inlineStr">
        <is>
          <t>COS-74.2707-Q1</t>
        </is>
      </c>
      <c r="B37" s="2" t="inlineStr">
        <is>
          <t>We're an indie cosmetics startup formulating a tinted body scrub. Our supplier offers D&amp;C Yellow No. 7. Can we use it, is there a use limit, and does the color need FDA certification?</t>
        </is>
      </c>
      <c r="C37" s="2" t="inlineStr">
        <is>
          <t>Yes. § 74.2707(b) permits D&amp;C Yellow No. 7 for coloring externally applied cosmetics in amounts consistent with good manufacturing practice; no numeric limit is set. A body scrub is applied only to external body parts, not lips or mucous membrane (§ 70.3(v)). All batches must be certified under part 80 (§ 74.2707(d)); the color additive label must conform to § 70.25 (§ 74.2707(c)).</t>
        </is>
      </c>
      <c r="D37" s="2" t="inlineStr">
        <is>
          <t>Body scrub: permitted.
21 CFR 74.2707(b) states: "D&amp;C Yellow No. 7 may be safely used for coloring externally applied cosmetics in amounts consistent with good manufacturing practice." [2].
Use limit: no percentage is stated; the amount is consistent with good manufacturing practice [2].
21 CFR 74.2707(a) states: "The color additive D&amp;C Yellow No. 7 shall conform in identity and specifications to the requirements of § 74.1707(a)(1) and (b)." [1].
21 CFR 74.2707(c) states: "The label of the color additive shall conform to the requirements of § 70.25 of this chapter." [3].
21 CFR 74.2707(d) states: "All batches of D&amp;C Yellow No. 7 shall be certified in accordance with regulations in part 80 of this chapter." [4].
21 CFR 82.1707 states: "The color additive D&amp;C Yellow No. 7 shall conform in identity and specifications to the requirements of § 74.1707(a)(1) and (b) of this chapter. D&amp;C Yellow No. 7 is restricted to use in externally applied drugs and cosmetics." [5].
21 CFR 70.3(v) states: "The terms externally applied drugs and externally applied cosmetics mean drugs or cosmetics applied only to external parts of the body and not to the lips or any body surface covered by mucous membrane." [6].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[7].</t>
        </is>
      </c>
      <c r="E37" s="2" t="inlineStr">
        <is>
          <t>PASS</t>
        </is>
      </c>
      <c r="F37" s="2" t="inlineStr">
        <is>
          <t>Says the body scrub use is permitted under 74.2707(b) with a GMP amount and no numeric limit, with 70.3(v) as the basis. It covers certification (74.2707(d)) and the 70.25 label (74.2707(c)). All citations are correct.</t>
        </is>
      </c>
      <c r="G37" s="3" t="n">
        <v>13.1</v>
      </c>
      <c r="H37" s="4" t="n"/>
      <c r="I37" s="4" t="n"/>
      <c r="J37" s="2" t="inlineStr">
        <is>
          <t>mlx-community/Qwen3-4B-Instruct-2507-4bit (rev 50d42775)</t>
        </is>
      </c>
      <c r="K37" s="2" t="inlineStr">
        <is>
          <t>BAAI/bge-small-en-v1.5 (dense section candidates for promotion)</t>
        </is>
      </c>
      <c r="L37" s="2" t="inlineStr">
        <is>
          <t>SUCCESS</t>
        </is>
      </c>
      <c r="M37" s="2" t="inlineStr"/>
      <c r="N37" s="2" t="inlineStr">
        <is>
          <t>Expected CFR section(s) 70.3, 74.2707: all in evidence; cited in answer: 70.3, 74.2707. Evidence (7): 21 CFR 74.2707(a) [exact]; 21 CFR 74.2707(b) [exact]; 21 CFR 74.2707(c) [exact]; 21 CFR 74.2707(d) [exact]; 21 CFR 82.1707 [exact]; 21 CFR 70.3(v) [exact]; 21 CFR 82.1050 [exact]. Query type None; semantic fallback not invoked.</t>
        </is>
      </c>
      <c r="O37" s="2" t="n">
        <v>36</v>
      </c>
      <c r="P37" s="2" t="inlineStr">
        <is>
          <t>74</t>
        </is>
      </c>
      <c r="Q37" s="2" t="inlineStr">
        <is>
          <t>Applicability</t>
        </is>
      </c>
      <c r="R37" s="2" t="inlineStr">
        <is>
          <t>Basic</t>
        </is>
      </c>
      <c r="S37" s="2" t="inlineStr">
        <is>
          <t>21 CFR 74.2707(b), (c), (d); 21 CFR 70.3(v)</t>
        </is>
      </c>
      <c r="T37" s="2" t="n">
        <v>1</v>
      </c>
      <c r="U37" s="2" t="n">
        <v>0</v>
      </c>
      <c r="V37" s="2" t="n">
        <v>2</v>
      </c>
      <c r="W37" s="2" t="n">
        <v>2</v>
      </c>
      <c r="X37" s="2" t="n">
        <v>1</v>
      </c>
      <c r="Y37" s="2" t="inlineStr">
        <is>
          <t>Fallback: composed_from_listing</t>
        </is>
      </c>
      <c r="Z37" s="2" t="inlineStr">
        <is>
          <t>initial True -&gt; final True; fallback composed_from_listing</t>
        </is>
      </c>
      <c r="AA37" s="2" t="inlineStr">
        <is>
          <t>[2] = 21 CFR 74.2707(b); [1] = 21 CFR 74.2707(a); [3] = 21 CFR 74.2707(c); [4] = 21 CFR 74.2707(d); [5] = 21 CFR 82.1707; [6] = 21 CFR 70.3(v); [7] = 21 CFR 82.1050</t>
        </is>
      </c>
      <c r="AB37" s="2" t="n"/>
      <c r="AC37" s="2" t="n"/>
      <c r="AD37" s="2" t="n"/>
      <c r="AE37" s="3" t="n"/>
      <c r="AF37" s="3" t="n"/>
      <c r="AG37" s="3" t="n"/>
      <c r="AH37" s="3" t="n"/>
      <c r="AI37" s="2" t="inlineStr">
        <is>
          <t>input tokens not reported (model not called); output tokens not reported (model not called)</t>
        </is>
      </c>
    </row>
    <row r="38">
      <c r="A38" s="2" t="inlineStr">
        <is>
          <t>COS-80.22-Q1</t>
        </is>
      </c>
      <c r="B38" s="2" t="inlineStr">
        <is>
          <t>What requirements apply to the sample we send with our certification request?</t>
        </is>
      </c>
      <c r="C38" s="2" t="inlineStr">
        <is>
          <t>§ 80.22: (a) take it only after the batch has been thoroughly mixed to uniform composition throughout; (b) held under the control of the person requesting certification until certified; (c) labeled with the color additive name, the manufacturer's batch number, the batch quantity, and the requester's name and post office address, and accompanied by any label or labeling intended for use.</t>
        </is>
      </c>
      <c r="D38" s="2" t="inlineStr">
        <is>
          <t>The sample sent with a certification request must be taken only after the batch has been thoroughly mixed to ensure uniform composition throughout [2], and must be held under the control of the person requesting certification until certified [3]. The sample must be labeled to show: (1) the name of the color additive [5], (2) the manufacturer's batch number [6], (3) the quantity of such batch [7], (4) the name and post-office address of the person requesting certification of such batch [8], and (5) be accompanied by any label or labeling intended to be used [9].
The name of the color additive is required and must be shown on the sample label [5].  
The manufacturer's batch number is required and must be shown on the sample label [6].  
The quantity of such batch is required and must be shown on the sample label [7].  
The name and post-office address of the person requesting certification are required and must be shown on the sample label [8].  
Any label or labeling intended to be used must accompany the sample [9].  
The requirement that the batch be thoroughly mixed prior to sampling applies only if the batch has been properly mixed [2]. The sample must remain under the control of the requester until certification is issued [3].</t>
        </is>
      </c>
      <c r="E38" s="2" t="inlineStr">
        <is>
          <t>PARTIALLY FAIL</t>
        </is>
      </c>
      <c r="F38" s="2" t="inlineStr">
        <is>
          <t>Covers 80.22(a), (b) and all five (c) label/labeling items with correct paragraph citations. However, the closing line ('the requirement that the batch be thoroughly mixed ... applies only if the batch has been properly mixed') invents a circular condition that recasts the unconditional mixing requirement as conditional.</t>
        </is>
      </c>
      <c r="G38" s="3" t="n">
        <v>42.5</v>
      </c>
      <c r="H38" s="4" t="n">
        <v>1734</v>
      </c>
      <c r="I38" s="4" t="n">
        <v>263</v>
      </c>
      <c r="J38" s="2" t="inlineStr">
        <is>
          <t>mlx-community/Qwen3-4B-Instruct-2507-4bit (rev 50d42775)</t>
        </is>
      </c>
      <c r="K38" s="2" t="inlineStr">
        <is>
          <t>BAAI/bge-small-en-v1.5 (dense section candidates for promotion)</t>
        </is>
      </c>
      <c r="L38" s="2" t="inlineStr">
        <is>
          <t>SUCCESS</t>
        </is>
      </c>
      <c r="M38" s="2" t="inlineStr"/>
      <c r="N38" s="2" t="inlineStr">
        <is>
          <t>Expected CFR section(s) 80.22: all in evidence; cited in answer: 80.22. Evidence (9): 21 CFR 80.22 [exact]; 21 CFR 80.22(a) [exact]; 21 CFR 80.22(b) [exact]; 21 CFR 80.22(c) [exact]; 21 CFR 80.22(c)(1) [exact]; 21 CFR 80.22(c)(2) [exact]; 21 CFR 80.22(c)(3) [exact]; 21 CFR 80.22(c)(4) [exact]; 21 CFR 80.22(c)(5) [exact]. Query type None; semantic fallback not invoked.</t>
        </is>
      </c>
      <c r="O38" s="2" t="n">
        <v>37</v>
      </c>
      <c r="P38" s="2" t="inlineStr">
        <is>
          <t>80</t>
        </is>
      </c>
      <c r="Q38" s="2" t="inlineStr">
        <is>
          <t>Specific Requirement</t>
        </is>
      </c>
      <c r="R38" s="2" t="inlineStr">
        <is>
          <t>Basic</t>
        </is>
      </c>
      <c r="S38" s="2" t="inlineStr">
        <is>
          <t>21 CFR 80.22(a), (b), (c)</t>
        </is>
      </c>
      <c r="T38" s="2" t="n">
        <v>1</v>
      </c>
      <c r="U38" s="2" t="n">
        <v>0</v>
      </c>
      <c r="V38" s="2" t="n">
        <v>1</v>
      </c>
      <c r="W38" s="2" t="n">
        <v>2</v>
      </c>
      <c r="X38" s="2" t="n">
        <v>1</v>
      </c>
      <c r="Y38" s="2" t="inlineStr">
        <is>
          <t>Generated answer</t>
        </is>
      </c>
      <c r="Z38" s="2" t="inlineStr">
        <is>
          <t>initial True -&gt; final True</t>
        </is>
      </c>
      <c r="AA38" s="2" t="inlineStr">
        <is>
          <t>[2] = 21 CFR 80.22(a); [3] = 21 CFR 80.22(b); [5] = 21 CFR 80.22(c)(1); [6] = 21 CFR 80.22(c)(2); [7] = 21 CFR 80.22(c)(3); [8] = 21 CFR 80.22(c)(4); [9] = 21 CFR 80.22(c)(5)</t>
        </is>
      </c>
      <c r="AB38" s="2" t="n"/>
      <c r="AC38" s="2" t="n"/>
      <c r="AD38" s="2" t="n"/>
      <c r="AE38" s="3" t="n"/>
      <c r="AF38" s="3" t="n"/>
      <c r="AG38" s="3" t="n"/>
      <c r="AH38" s="3" t="n"/>
      <c r="AI38" s="2" t="inlineStr"/>
    </row>
    <row r="39">
      <c r="A39" s="2" t="inlineStr">
        <is>
          <t>COS-80.34-Q1</t>
        </is>
      </c>
      <c r="B39" s="2" t="inlineStr">
        <is>
          <t>FDA suspended certification service to our company after a records audit. On what grounds can it do that, and what can we do?</t>
        </is>
      </c>
      <c r="C39" s="2" t="inlineStr">
        <is>
          <t>§ 80.34(a): if the Commissioner believes a person obtained or attempted to obtain a certificate through fraud or material misrepresentation, falsified § 80.39 records, failed to keep, make available or permit inventory and checking of those records, or refused FDA free access to facilities, processes and formulae, he may immediately suspend service until adequate corrective action. § 80.34(b): request a part 16 regulatory hearing.</t>
        </is>
      </c>
      <c r="D39" s="2" t="inlineStr">
        <is>
          <t>The FDA can suspend certification service to a company if it appears to the Commissioner that the person has: (1) obtained or attempted to obtain a certificate through fraud or misrepresentation of a material fact; (2) falsified records required to be kept under § 80.39; (3) failed to keep such records, make them available, or allow inventory checks as required by § 80.39; or (4) refused to permit duly authorized FDA employees free access to manufacturing facilities, processes, and formulae involved in the manufacture of color additives and intermediates from which such color additives are derived [1]. The grounds for suspension are specifically listed in 21 CFR 80.34(a)(1) through (a)(4), with each condition being a basis upon which the Commissioner may suspend certification service. A person who contests the suspension has an opportunity for a regulatory hearing before the FDA pursuant to part 16 of this chapter [6].
21 CFR 80.34(a)(1): The FDA can suspend certification service if it appears that a person obtained or attempted to obtain a certificate through fraud or misrepresentation of a material fact [2].  
21 CFR 80.34(a)(2): The FDA can suspend certification service if the person falsified the records required to be kept under § 80.39 [3].  
21 CFR 80.34(a)(3): The FDA can suspend certification service if the person failed to keep such records, make them available, or allow full opportunity for inventory checks as required by § 80.39 [4].  
21 CFR 80.34(a)(4): The FDA can suspend certification service if the person refused to permit duly authorized FDA employees free access to all manufacturing facilities, processes, and formulae involved in the manufacture of color additives and intermediates from which such color additives are derived [5].  
21 CFR 80.34(b): Any person who contests a suspension of service has an opportunity for a regulatory hearing before the FDA pursuant to part 16 of this chapter [6].</t>
        </is>
      </c>
      <c r="E39" s="2" t="inlineStr">
        <is>
          <t>PARTIALLY PASS</t>
        </is>
      </c>
      <c r="F39" s="2" t="inlineStr">
        <is>
          <t>All four 80.34(a)(1)-(4) grounds and the 80.34(b) part 16 hearing are stated correctly with correct citations. It omits that suspension can be immediate and lasts until adequate corrective action is taken, which is a key 'what can we do' element.</t>
        </is>
      </c>
      <c r="G39" s="3" t="n">
        <v>32.1</v>
      </c>
      <c r="H39" s="4" t="n">
        <v>1295</v>
      </c>
      <c r="I39" s="4" t="n">
        <v>444</v>
      </c>
      <c r="J39" s="2" t="inlineStr">
        <is>
          <t>mlx-community/Qwen3-4B-Instruct-2507-4bit (rev 50d42775)</t>
        </is>
      </c>
      <c r="K39" s="2" t="inlineStr">
        <is>
          <t>BAAI/bge-small-en-v1.5 (dense section candidates for promotion)</t>
        </is>
      </c>
      <c r="L39" s="2" t="inlineStr">
        <is>
          <t>SUCCESS</t>
        </is>
      </c>
      <c r="M39" s="2" t="inlineStr"/>
      <c r="N39" s="2" t="inlineStr">
        <is>
          <t>Expected CFR section(s) 80.34: all in evidence; cited in answer: 80.34. Evidence (6): 21 CFR 80.34(a) [exact]; 21 CFR 80.34(a)(1) [exact]; 21 CFR 80.34(a)(2) [exact]; 21 CFR 80.34(a)(3) [exact]; 21 CFR 80.34(a)(4) [exact]; 21 CFR 80.34(b) [exact]. Query type None; semantic fallback not invoked.</t>
        </is>
      </c>
      <c r="O39" s="2" t="n">
        <v>38</v>
      </c>
      <c r="P39" s="2" t="inlineStr">
        <is>
          <t>80</t>
        </is>
      </c>
      <c r="Q39" s="2" t="inlineStr">
        <is>
          <t>Specific Requirement</t>
        </is>
      </c>
      <c r="R39" s="2" t="inlineStr">
        <is>
          <t>Intermediate</t>
        </is>
      </c>
      <c r="S39" s="2" t="inlineStr">
        <is>
          <t>21 CFR 80.34(a), (b)</t>
        </is>
      </c>
      <c r="T39" s="2" t="n">
        <v>1</v>
      </c>
      <c r="U39" s="2" t="n">
        <v>0</v>
      </c>
      <c r="V39" s="2" t="n">
        <v>2</v>
      </c>
      <c r="W39" s="2" t="n">
        <v>1</v>
      </c>
      <c r="X39" s="2" t="n">
        <v>1</v>
      </c>
      <c r="Y39" s="2" t="inlineStr">
        <is>
          <t>Generated answer</t>
        </is>
      </c>
      <c r="Z39" s="2" t="inlineStr">
        <is>
          <t>initial True -&gt; final True</t>
        </is>
      </c>
      <c r="AA39" s="2" t="inlineStr">
        <is>
          <t>[1] = 21 CFR 80.34(a); [6] = 21 CFR 80.34(b); [2] = 21 CFR 80.34(a)(1); [3] = 21 CFR 80.34(a)(2); [4] = 21 CFR 80.34(a)(3); [5] = 21 CFR 80.34(a)(4)</t>
        </is>
      </c>
      <c r="AB39" s="2" t="n"/>
      <c r="AC39" s="2" t="n"/>
      <c r="AD39" s="2" t="n"/>
      <c r="AE39" s="3" t="n"/>
      <c r="AF39" s="3" t="n"/>
      <c r="AG39" s="3" t="n"/>
      <c r="AH39" s="3" t="n"/>
      <c r="AI39" s="2" t="inlineStr"/>
    </row>
    <row r="40">
      <c r="A40" s="2" t="inlineStr">
        <is>
          <t>COS-80.39-Q1</t>
        </is>
      </c>
      <c r="B40" s="2" t="inlineStr">
        <is>
          <t>We hold certificates for our color batches. What distribution records must we keep, and for how long?</t>
        </is>
      </c>
      <c r="C40" s="2" t="inlineStr">
        <is>
          <t>§ 80.39(a): complete records of disposal of all color additive from the batch, available at all reasonable hours to FDA/HHS officers until at least 2 years after disposal of all of it, with opportunity to inventory stocks and check records. (b)(1): each quantity used, with date and kind of use; (b)(2): date, quantity and recipient (name, post-office address) of each shipment or delivery. (c): kept separately.</t>
        </is>
      </c>
      <c r="D40" s="2" t="inlineStr">
        <is>
          <t>We must keep distribution records for color additive batches covered by certificates. The records must show: (1) each quantity used from the batch, including the date and kind of use; and (2) the date and quantity of each shipment or delivery, along with the name and post-office address of the recipient. These records must be kept separately from all other records. They must be made available to FDA or any officer acting on behalf of the Secretary of Health and Human Services at all reasonable hours until at least 2 years after the disposal of all such color additive [1].  
21 CFR 80.39(b)(1) requires that each quantity used from a batch be recorded, along with the date and kind of such use [3].  
21 CFR 80.39(b)(2) requires that the date and quantity of each shipment or delivery be recorded, including the name and post-office address of the person to whom it was delivered [4].  
21 CFR 80.39(a) requires that records be made available until at least 2 years after disposal of all such color additive [1].  
21 CFR 80.39(c) requires that the records required by paragraph (a) be kept separately from all other records [5].</t>
        </is>
      </c>
      <c r="E40" s="2" t="inlineStr">
        <is>
          <t>PASS</t>
        </is>
      </c>
      <c r="F40" s="2" t="inlineStr">
        <is>
          <t>Correctly states the (b)(1) use and (b)(2) shipment record contents, the (c) separate-keeping rule and the (a) 2-years-after-disposal availability to FDA/HHS officers, all cited to the right paragraphs. The FDA opportunity to inventory stocks is not mentioned, but that is peripheral to what records and how long.</t>
        </is>
      </c>
      <c r="G40" s="3" t="n">
        <v>43.1</v>
      </c>
      <c r="H40" s="4" t="n">
        <v>1737</v>
      </c>
      <c r="I40" s="4" t="n">
        <v>265</v>
      </c>
      <c r="J40" s="2" t="inlineStr">
        <is>
          <t>mlx-community/Qwen3-4B-Instruct-2507-4bit (rev 50d42775)</t>
        </is>
      </c>
      <c r="K40" s="2" t="inlineStr">
        <is>
          <t>BAAI/bge-small-en-v1.5 (dense section candidates for promotion)</t>
        </is>
      </c>
      <c r="L40" s="2" t="inlineStr">
        <is>
          <t>SUCCESS</t>
        </is>
      </c>
      <c r="M40" s="2" t="inlineStr"/>
      <c r="N40" s="2" t="inlineStr">
        <is>
          <t>Expected CFR section(s) 80.39: all in evidence; cited in answer: 80.39. Evidence (5): 21 CFR 80.39(a) [exact]; 21 CFR 80.39(b) [exact]; 21 CFR 80.39(b)(1) [exact]; 21 CFR 80.39(b)(2) [exact]; 21 CFR 80.39(c) [exact]. Query type None; semantic fallback not invoked.</t>
        </is>
      </c>
      <c r="O40" s="2" t="n">
        <v>39</v>
      </c>
      <c r="P40" s="2" t="inlineStr">
        <is>
          <t>80</t>
        </is>
      </c>
      <c r="Q40" s="2" t="inlineStr">
        <is>
          <t>Records/Evidence</t>
        </is>
      </c>
      <c r="R40" s="2" t="inlineStr">
        <is>
          <t>Intermediate</t>
        </is>
      </c>
      <c r="S40" s="2" t="inlineStr">
        <is>
          <t>21 CFR 80.39(a)-(c)</t>
        </is>
      </c>
      <c r="T40" s="2" t="n">
        <v>1</v>
      </c>
      <c r="U40" s="2" t="n">
        <v>0</v>
      </c>
      <c r="V40" s="2" t="n">
        <v>2</v>
      </c>
      <c r="W40" s="2" t="n">
        <v>2</v>
      </c>
      <c r="X40" s="2" t="n">
        <v>1</v>
      </c>
      <c r="Y40" s="2" t="inlineStr">
        <is>
          <t>Generated answer</t>
        </is>
      </c>
      <c r="Z40" s="2" t="inlineStr">
        <is>
          <t>initial True -&gt; final True</t>
        </is>
      </c>
      <c r="AA40" s="2" t="inlineStr">
        <is>
          <t>[1] = 21 CFR 80.39(a); [3] = 21 CFR 80.39(b)(1); [4] = 21 CFR 80.39(b)(2); [5] = 21 CFR 80.39(c)</t>
        </is>
      </c>
      <c r="AB40" s="2" t="n"/>
      <c r="AC40" s="2" t="n"/>
      <c r="AD40" s="2" t="n"/>
      <c r="AE40" s="3" t="n"/>
      <c r="AF40" s="3" t="n"/>
      <c r="AG40" s="3" t="n"/>
      <c r="AH40" s="3" t="n"/>
      <c r="AI40" s="2" t="inlineStr"/>
    </row>
    <row r="41">
      <c r="A41" s="2" t="inlineStr">
        <is>
          <t>COS-81.10-Q1</t>
        </is>
      </c>
      <c r="B41" s="2" t="inlineStr">
        <is>
          <t>An old formula of ours uses FD&amp;C Red No. 4 in a lipstick and a body lotion. Is FD&amp;C Red No. 4 still usable?</t>
        </is>
      </c>
      <c r="C41" s="2" t="inlineStr">
        <is>
          <t>§ 81.10(d): the provisional listing is terminated for food and ingested drugs, having already been terminated for ingested cosmetics. FD&amp;C Red No. 4 remains listed for externally applied drugs and cosmetics under §§ 74.1304 and 74.2304, so the body lotion can qualify; the lipstick cannot, because lips are not externally applied (§ 70.3(v)). § 82.304 is retained for lakes in external uses.</t>
        </is>
      </c>
      <c r="D41" s="2" t="inlineStr">
        <is>
          <t>Lipstick: not permitted.
21 CFR 74.2304(b) states: "FD&amp;C Red No. 4 may be safely used for coloring externally applied cosmetics in amounts consistent with good manufacturing practice." [2].
21 CFR 70.3(v) states: "The terms externally applied drugs and externally applied cosmetics mean drugs or cosmetics applied only to external parts of the body and not to the lips or any body surface covered by mucous membrane." [6].
Body lotion: permitted.
Use limit: no percentage is stated; the amount is consistent with good manufacturing practice [2].
21 CFR 74.2304(a) states: "The color additive FD&amp;C Red No. 4 shall conform in identity and specifications to the requirements of § 74.1304(a)(1) and (b)." [1].
21 CFR 74.2304(c) states: "The label of the color additive shall conform to the requirements of § 70.25 of this chapter." [3].
21 CFR 74.2304(d) states: "All batches of FD&amp;C Red No. 4 shall be certified in accordance with regulations in part 80 of this chapter." [4].
21 CFR 82.304 states: "The color additive FD&amp;C Red No. 4 shall conform in identity and specifications to the requirements of § 74.1304(a)(1) and (b) of this chapter. FD&amp;C Red No. 4 is restricted to use in externally applied drugs and cosmetics." [5].
21 CFR 82.50 states: "A batch of a straight color listed in this subpart may be certified, in accordance with the provisions of the regulations in this part, for use in food, drugs, and cosmetics, if such batch conforms to the requirements of § 82.5 and to the specifications in this subpart set forth for such color." [7].</t>
        </is>
      </c>
      <c r="E41" s="2" t="inlineStr">
        <is>
          <t>PARTIALLY PASS</t>
        </is>
      </c>
      <c r="F41" s="2" t="inlineStr">
        <is>
          <t>Reaches the correct conclusions (lipstick not permitted per 70.3(v), body lotion permitted at GMP under 74.2304, 82.304 restricted to external use), and every citation given is correct. It never surfaces the primary key provision 81.10(d) or the termination of the provisional listing for food, ingested drugs and ingested cosmetics.</t>
        </is>
      </c>
      <c r="G41" s="3" t="n">
        <v>15.7</v>
      </c>
      <c r="H41" s="4" t="n"/>
      <c r="I41" s="4" t="n"/>
      <c r="J41" s="2" t="inlineStr">
        <is>
          <t>mlx-community/Qwen3-4B-Instruct-2507-4bit (rev 50d42775)</t>
        </is>
      </c>
      <c r="K41" s="2" t="inlineStr">
        <is>
          <t>BAAI/bge-small-en-v1.5 (dense section candidates for promotion)</t>
        </is>
      </c>
      <c r="L41" s="2" t="inlineStr">
        <is>
          <t>SUCCESS</t>
        </is>
      </c>
      <c r="M41" s="2" t="inlineStr"/>
      <c r="N41" s="2" t="inlineStr">
        <is>
          <t>Expected CFR section(s) 81.10: none in evidence; none cited in answer. Evidence (7): 21 CFR 74.2304(a) [exact]; 21 CFR 74.2304(b) [exact]; 21 CFR 74.2304(c) [exact]; 21 CFR 74.2304(d) [exact]; 21 CFR 82.304 [exact]; 21 CFR 70.3(v) [exact]; 21 CFR 82.50 [exact]. Query type None; semantic fallback not invoked.</t>
        </is>
      </c>
      <c r="O41" s="2" t="n">
        <v>40</v>
      </c>
      <c r="P41" s="2" t="inlineStr">
        <is>
          <t>81</t>
        </is>
      </c>
      <c r="Q41" s="2" t="inlineStr">
        <is>
          <t>Applicability</t>
        </is>
      </c>
      <c r="R41" s="2" t="inlineStr">
        <is>
          <t>Intermediate</t>
        </is>
      </c>
      <c r="S41" s="2" t="inlineStr">
        <is>
          <t>21 CFR 81.10(d)</t>
        </is>
      </c>
      <c r="T41" s="2" t="n">
        <v>1</v>
      </c>
      <c r="U41" s="2" t="n">
        <v>0</v>
      </c>
      <c r="V41" s="2" t="n">
        <v>2</v>
      </c>
      <c r="W41" s="2" t="n">
        <v>1</v>
      </c>
      <c r="X41" s="2" t="n">
        <v>1</v>
      </c>
      <c r="Y41" s="2" t="inlineStr">
        <is>
          <t>Fallback: composed_from_listing</t>
        </is>
      </c>
      <c r="Z41" s="2" t="inlineStr">
        <is>
          <t>initial True -&gt; final True; fallback composed_from_listing</t>
        </is>
      </c>
      <c r="AA41" s="2" t="inlineStr">
        <is>
          <t>[2] = 21 CFR 74.2304(b); [6] = 21 CFR 70.3(v); [1] = 21 CFR 74.2304(a); [3] = 21 CFR 74.2304(c); [4] = 21 CFR 74.2304(d); [5] = 21 CFR 82.304; [7] = 21 CFR 82.50</t>
        </is>
      </c>
      <c r="AB41" s="2" t="n"/>
      <c r="AC41" s="2" t="n"/>
      <c r="AD41" s="2" t="n"/>
      <c r="AE41" s="3" t="n"/>
      <c r="AF41" s="3" t="n"/>
      <c r="AG41" s="3" t="n"/>
      <c r="AH41" s="3" t="n"/>
      <c r="AI41" s="2" t="inlineStr">
        <is>
          <t>input tokens not reported (model not called); output tokens not reported (model not called)</t>
        </is>
      </c>
    </row>
    <row r="42">
      <c r="A42" s="2" t="inlineStr">
        <is>
          <t>COS-82.3-Q1</t>
        </is>
      </c>
      <c r="B42" s="2" t="inlineStr">
        <is>
          <t>Our lake supplier mentions a 'gloss white' substratum and says our foot cream is 'externally applied.' What do these terms mean under Part 82?</t>
        </is>
      </c>
      <c r="C42" s="2" t="inlineStr">
        <is>
          <t>§ 82.3(i): gloss white is a water suspension of co-precipitated aluminum hydroxide and barium sulfate. § 82.3(n): externally applied drugs and cosmetics are those applied only to external parts of the body and not to the lips or any body surface covered by mucous membrane; a foot cream fits that definition.</t>
        </is>
      </c>
      <c r="D42" s="2" t="inlineStr">
        <is>
          <t>The generated answer could not be validated against the retrieved regulatory evidence, so it is not shown. The retrieved sources were not verified to answer the question as asked, so their text is not quoted as an answer. Sources consulted: 21 CFR 82.3, 21 CFR 82.3(a), 21 CFR 82.3(a)(g), 21 CFR 82.3(a)(h), 21 CFR 82.3(a)(i) and 5 more.</t>
        </is>
      </c>
      <c r="E42" s="2" t="inlineStr">
        <is>
          <t>FAIL</t>
        </is>
      </c>
      <c r="F42" s="2" t="inlineStr">
        <is>
          <t>Withheld; neither the 82.3(i) gloss white definition nor the 82.3(n) externally applied definition was delivered, and the foot cream was not addressed.</t>
        </is>
      </c>
      <c r="G42" s="3" t="n">
        <v>36.5</v>
      </c>
      <c r="H42" s="4" t="n">
        <v>1502</v>
      </c>
      <c r="I42" s="4" t="n">
        <v>274</v>
      </c>
      <c r="J42" s="2" t="inlineStr">
        <is>
          <t>mlx-community/Qwen3-4B-Instruct-2507-4bit (rev 50d42775)</t>
        </is>
      </c>
      <c r="K42" s="2" t="inlineStr">
        <is>
          <t>BAAI/bge-small-en-v1.5 (dense section candidates for promotion)</t>
        </is>
      </c>
      <c r="L42" s="2" t="inlineStr">
        <is>
          <t>SUCCESS</t>
        </is>
      </c>
      <c r="M42" s="2" t="inlineStr"/>
      <c r="N42" s="2" t="inlineStr">
        <is>
          <t>Expected CFR section(s) 82.3: all in evidence; none cited in answer. Evidence (10): 21 CFR 82.3 [exact]; 21 CFR 82.3(a) [exact]; 21 CFR 82.3(a)(g) [exact]; 21 CFR 82.3(a)(h) [exact]; 21 CFR 82.3(a)(i) [exact]; 21 CFR 82.3(a)(j) [exact]; 21 CFR 82.3(a)(k) [exact]; 21 CFR 82.3(a)(k)(n) [exact]; 21 CFR 82.3(a)(k)(o) [exact]; 21 CFR 82.3(a)(k)(o)(q) [exact]. Query type None; semantic fallback not invoked.</t>
        </is>
      </c>
      <c r="O42" s="2" t="n">
        <v>41</v>
      </c>
      <c r="P42" s="2" t="inlineStr">
        <is>
          <t>82</t>
        </is>
      </c>
      <c r="Q42" s="2" t="inlineStr">
        <is>
          <t>Specific Requirement</t>
        </is>
      </c>
      <c r="R42" s="2" t="inlineStr">
        <is>
          <t>Basic</t>
        </is>
      </c>
      <c r="S42" s="2" t="inlineStr">
        <is>
          <t>21 CFR 82.3(i), (n)</t>
        </is>
      </c>
      <c r="T42" s="2" t="n">
        <v>0</v>
      </c>
      <c r="U42" s="2" t="n">
        <v>0</v>
      </c>
      <c r="V42" s="2" t="n">
        <v>0</v>
      </c>
      <c r="W42" s="2" t="n">
        <v>0</v>
      </c>
      <c r="X42" s="2" t="n">
        <v>1</v>
      </c>
      <c r="Y42" s="2" t="inlineStr">
        <is>
          <t>Withheld by validator (no answer shown)</t>
        </is>
      </c>
      <c r="Z42" s="2" t="inlineStr">
        <is>
          <t>initial False [provision_citation_mismatch, unsupported_claim] -&gt; final True; repair applied; fallback unvalidated_answer_withheld</t>
        </is>
      </c>
      <c r="AA42" s="2" t="inlineStr"/>
      <c r="AB42" s="2" t="n"/>
      <c r="AC42" s="2" t="n"/>
      <c r="AD42" s="2" t="n"/>
      <c r="AE42" s="3" t="n"/>
      <c r="AF42" s="3" t="n"/>
      <c r="AG42" s="3" t="n"/>
      <c r="AH42" s="3" t="n"/>
      <c r="AI42" s="2" t="inlineStr"/>
    </row>
    <row r="43">
      <c r="A43" s="2" t="inlineStr">
        <is>
          <t>COS-82.5-Q1</t>
        </is>
      </c>
      <c r="B43" s="2" t="inlineStr">
        <is>
          <t>What general specifications must a batch of an FD&amp;C (subpart B) straight color meet before it can be certified?</t>
        </is>
      </c>
      <c r="C43" s="2" t="inlineStr">
        <is>
          <t>§ 82.5(a): free from impurities other than those named in (b) or in its own specifications, to the extent avoidable by good manufacturing practice. § 82.5(b)(1): lead (as Pb) not more than 0.001 percent; arsenic (as As2O3) not more than 0.00014 percent; heavy metals other than lead and arsenic (precipitated as sulfides) not more than trace.</t>
        </is>
      </c>
      <c r="D43" s="2" t="inlineStr">
        <is>
          <t>A batch of an FD&amp;C (subpart B) straight color must meet the following general specifications before it can be certified:  
- It must be free from all impurities, except those specifically named in paragraph (b) or in the specifications for that color, to the extent such impurities can be avoided by good manufacturing practice [2].  
- For a straight color listed in subpart B, lead (as Pb) shall not exceed 0.001 percent [5]; arsenic (as As₂O₃) shall not exceed 0.00014 percent [6]; and heavy metals (except Pb and As), by precipitation as sulfides, shall not exceed trace levels [7].  
- For a straight color listed in subpart C or D, lead (as Pb) shall not exceed 0.002 percent [9]; arsenic (as As₂O₃) shall not exceed 0.0002 percent [10]; and heavy metals (except Pb and As), by precipitation as sulfides, shall not exceed 0.003 percent [11].  
- If the straight color contains a barium salt listed in subpart C or D, soluble barium (in dilute HCl) as BaCl₂ shall not exceed 0.05 percent [12].  
The batch must also conform to the general specifications outlined in section (b), which differ based on whether the color is listed in subpart B, C, or D [3], and specifically for subpart B, the limits on lead, arsenic, and heavy metals are as defined above.  
21 CFR 70.3(j) [13] defines "straight color" as a color additive listed in parts 73, 74, and 81 of this chapter, including lakes and substances permitted by the specifications for such color.  
21 CFR 82.5(a) [2] requires that the batch be free from all impurities (other than those named in paragraph (b) or in the specifications set forth therein) to the extent such impurities can be avoided by good manufacturing practice.  
21 CFR 82.5(b) [3] specifies that the batch must conform to the following:  
- For subpart B, lead not more than 0.001 percent [5]; arsenic not more than 0.00014 percent [6]; and heavy metals (except Pb and As) not more than trace [7].  
- For subpart C or D, lead not more than 0.002 percent [9]; arsenic not more than 0.0002 percent [10]; and heavy metals (except Pb and As) not more than 0.003 percent [11].  
- For a straight color containing a barium salt in subpart C or D, soluble barium (as BaCl₂) not more than 0.05 percent [12].  
21 CFR 82.5(b)(1) [4] applies specifically to straight colors listed in subpart B and sets the limits on lead, arsenic, and heavy metals as specified in subsections (b)(1)(i), (b)(1)(ii), and (b)(1)(iii).  
21 CFR 82.5(b)(1)(i) [5] requires that lead (as Pb) not exceed 0.001 percent for a straight color listed in subpart B.  
21 CFR 82.5(b)(1)(ii) [6] requires that arsenic (as As₂O₃) not exceed 0.00014 percent for a straight color listed in subpart B.  
21 CFR 82.5(b)(1)(iii) [7] requires that heavy metals (except Pb and As), by precipitation as sulfides, not exceed trace levels for a straight color listed in subpart B, except that this limit is subject to the condition that such impurities are not present beyond what can be avoided by good manufacturing practice.  
21 CFR 82.5(b)(2) [8] applies to straight colors listed in subpart C or D and specifies different limits for lead, arsenic, and heavy metals than those for subpart B.  
21 CFR 82.5(b)(2)(i) [9] requires that lead (as Pb) not exceed 0.002 percent for a straight color listed in subpart C or D.  
21 CFR 82.5(b)(2)(ii) [10] requires that arsenic (as As₂O₃) not exceed 0.0002 percent for a straight color listed in subpart C or D.  
21 CFR 82.5(b)(2)(iii) [11] requires that heavy metals (except Pb and As), by precipitation as sulfides, not exceed 0.003 percent for a straight color listed in subpart C or D.  
21 CFR 82.5(b)(3) [12] specifies that if the straight color contains a barium salt listed in subpart C or D, soluble barium (in dilute HCl) as BaCl₂ shall not exceed 0.05 percent.  
21 CFR 70.3(j) [13] defines "straight color" to include lakes and substances permitted by the specifications for such color, which is relevant to determining whether a substance qualifies as a straight color under FD&amp;C subpart B.</t>
        </is>
      </c>
      <c r="E43" s="2" t="inlineStr">
        <is>
          <t>PARTIALLY FAIL</t>
        </is>
      </c>
      <c r="F43" s="2" t="inlineStr">
        <is>
          <t>Correctly gives 82.5(a) and the (b)(1) subpart B limits (Pb 0.001%, As2O3 0.00014%, other heavy metals trace), and the extra (b)(2)/(b)(3) limits are correct. However, it misreads (b)(1)(iii) by adding an invented GMP-avoidability condition to the 'not more than trace' limit.</t>
        </is>
      </c>
      <c r="G43" s="3" t="n">
        <v>61.3</v>
      </c>
      <c r="H43" s="4" t="n">
        <v>1979</v>
      </c>
      <c r="I43" s="4" t="n">
        <v>1182</v>
      </c>
      <c r="J43" s="2" t="inlineStr">
        <is>
          <t>mlx-community/Qwen3-4B-Instruct-2507-4bit (rev 50d42775)</t>
        </is>
      </c>
      <c r="K43" s="2" t="inlineStr">
        <is>
          <t>BAAI/bge-small-en-v1.5 (dense section candidates for promotion)</t>
        </is>
      </c>
      <c r="L43" s="2" t="inlineStr">
        <is>
          <t>SUCCESS</t>
        </is>
      </c>
      <c r="M43" s="2" t="inlineStr"/>
      <c r="N43" s="2" t="inlineStr">
        <is>
          <t>Expected CFR section(s) 82.5: all in evidence; cited in answer: 82.5. Evidence (13): 21 CFR 82.5 [exact]; 21 CFR 82.5(a) [exact]; 21 CFR 82.5(b) [exact]; 21 CFR 82.5(b)(1) [exact]; 21 CFR 82.5(b)(1)(i) [exact]; 21 CFR 82.5(b)(1)(ii) [exact]; 21 CFR 82.5(b)(1)(iii) [exact]; 21 CFR 82.5(b)(2) [exact]; 21 CFR 82.5(b)(2)(i) [exact]; 21 CFR 82.5(b)(2)(ii) [exact]; 21 CFR 82.5(b)(2)(iii) [exact]; 21 CFR 82.5(b)(3) [exact]; 21 CFR 70.3(j) [exact]. Query type None; semantic fallback not invoked.</t>
        </is>
      </c>
      <c r="O43" s="2" t="n">
        <v>42</v>
      </c>
      <c r="P43" s="2" t="inlineStr">
        <is>
          <t>82</t>
        </is>
      </c>
      <c r="Q43" s="2" t="inlineStr">
        <is>
          <t>Specific Requirement</t>
        </is>
      </c>
      <c r="R43" s="2" t="inlineStr">
        <is>
          <t>Intermediate</t>
        </is>
      </c>
      <c r="S43" s="2" t="inlineStr">
        <is>
          <t>21 CFR 82.5(a), (b)(1)</t>
        </is>
      </c>
      <c r="T43" s="2" t="n">
        <v>1</v>
      </c>
      <c r="U43" s="2" t="n">
        <v>0</v>
      </c>
      <c r="V43" s="2" t="n">
        <v>1</v>
      </c>
      <c r="W43" s="2" t="n">
        <v>2</v>
      </c>
      <c r="X43" s="2" t="n">
        <v>1</v>
      </c>
      <c r="Y43" s="2" t="inlineStr">
        <is>
          <t>Generated answer</t>
        </is>
      </c>
      <c r="Z43" s="2" t="inlineStr">
        <is>
          <t>initial True -&gt; final True</t>
        </is>
      </c>
      <c r="AA43" s="2" t="inlineStr">
        <is>
          <t>[2] = 21 CFR 82.5(a); [5] = 21 CFR 82.5(b)(1)(i); [6] = 21 CFR 82.5(b)(1)(ii); [7] = 21 CFR 82.5(b)(1)(iii); [9] = 21 CFR 82.5(b)(2)(i); [10] = 21 CFR 82.5(b)(2)(ii); [11] = 21 CFR 82.5(b)(2)(iii); [12] = 21 CFR 82.5(b)(3); [3] = 21 CFR 82.5(b); [13] = 21 CFR 70.3(j); [4] = 21 CFR 82.5(b)(1); [8] = 21 CFR 82.5(b)(2)</t>
        </is>
      </c>
      <c r="AB43" s="2" t="n"/>
      <c r="AC43" s="2" t="n"/>
      <c r="AD43" s="2" t="n"/>
      <c r="AE43" s="3" t="n"/>
      <c r="AF43" s="3" t="n"/>
      <c r="AG43" s="3" t="n"/>
      <c r="AH43" s="3" t="n"/>
      <c r="AI43" s="2" t="inlineStr"/>
    </row>
    <row r="44">
      <c r="A44" s="2" t="inlineStr">
        <is>
          <t>COS-82.51-Q1</t>
        </is>
      </c>
      <c r="B44" s="2" t="inlineStr">
        <is>
          <t>We want to make FD&amp;C aluminum lakes for cosmetics. What does the regulation require for composition, specifications and naming?</t>
        </is>
      </c>
      <c r="C44" s="2" t="inlineStr">
        <is>
          <t>§ 82.51(a)(1): a salt (basic radical aluminum or calcium) of a certified, water-soluble subpart B straight color extended on an alumina substratum. (a)(2): made from previously certified colors; soluble chlorides and sulfates (as sodium salts) not more than 2.0 percent; HCl-insoluble inorganic matter not more than 0.5 percent. (b): treated as a straight color and named listed name + basic radical + 'Lake'.</t>
        </is>
      </c>
      <c r="D44" s="2" t="inlineStr">
        <is>
          <t>The regulation requires that FD&amp;C aluminum lakes for cosmetics be prepared by extending a certified water-soluble straight color on an alumina substratum, and each such lake must meet specific composition and specification criteria, including limits on soluble chlorides and sulfates and inorganic matter. The name of the lake is determined by combining the listed name of the parent color with the name of the basic radical (aluminum) and appending the word “Lake.” These lakes are considered straight colors and must conform to specifications set forth for the parent color, including those in §82.50.
21 CFR 82.51(a)(1) [1] requires that any aluminum lake be made by extending a salt derived from one of the certified water-soluble straight colors on an alumina substratum using either the aluminum or calcium basic radical.
21 CFR 82.51(a)(2) [2] specifies that lakes must be prepared from previously certified colors listed in this subpart, and further limits soluble chlorides and sulfates (as sodium salts) to not more than 2.0 percent; insoluble HCl and inorganic matter are limited to not more than 0.5 percent [3].
21 CFR 82.51(b) [4] establishes that each lake made as prescribed in paragraph (a) shall be considered a straight color and listed under a name formed according to specific rules.
21 CFR 82.51(b)(1) [5] requires the name of the lake to include the listed name of the parent color from which it is prepared.
21 CFR 82.51(b)(2) [6] requires the inclusion of the name of the basic radical (aluminum or calcium) combined in the color.
21 CFR 82.51(b)(3) [7] and [8] require that the word “Lake” be appended to the name, as illustrated by the example: FD&amp;C Blue No. 1—Aluminum Lake.
21 CFR 82.50 [9] requires a batch of a straight color (including lakes) to be certified for use in food, drugs, and cosmetics if it conforms to §82.5 and to the specifications set forth in this subpart for that color.</t>
        </is>
      </c>
      <c r="E44" s="2" t="inlineStr">
        <is>
          <t>PARTIALLY FAIL</t>
        </is>
      </c>
      <c r="F44" s="2" t="inlineStr">
        <is>
          <t>All citations are correct: 82.51(a)(1), (a)(2), (b), (b)(1)-(3) and 82.50. Composition, previously certified colors, the 2.0% chlorides/sulfates limit and the naming rule all match the key. Two problems keep sub at 1. First, the single specification 'inorganic matter, insoluble in HCl, not more than 0.5%' is garbled into 'insoluble HCl and inorganic matter', and the summary just says 'limits on inorganic matter'. Read literally, that caps all inorganic matter, which is wrong for an alumina lake. Second, the summary says lakes must meet the parent color's specifications 'including those in §82.50', which the regulation does not say. So this is not a full PASS.</t>
        </is>
      </c>
      <c r="G44" s="3" t="n">
        <v>35.3</v>
      </c>
      <c r="H44" s="4" t="n">
        <v>1633</v>
      </c>
      <c r="I44" s="4" t="n">
        <v>476</v>
      </c>
      <c r="J44" s="2" t="inlineStr">
        <is>
          <t>mlx-community/Qwen3-4B-Instruct-2507-4bit (rev 50d42775)</t>
        </is>
      </c>
      <c r="K44" s="2" t="inlineStr">
        <is>
          <t>BAAI/bge-small-en-v1.5 (dense section candidates for promotion)</t>
        </is>
      </c>
      <c r="L44" s="2" t="inlineStr">
        <is>
          <t>SUCCESS</t>
        </is>
      </c>
      <c r="M44" s="2" t="inlineStr"/>
      <c r="N44" s="2" t="inlineStr">
        <is>
          <t>Expected CFR section(s) 82.51: all in evidence; cited in answer: 82.51. Evidence (9): 21 CFR 82.51(a)(1) [exact]; 21 CFR 82.51(a)(2) [exact]; 21 CFR 82.51(a)(2) [exact]; 21 CFR 82.51(b) [exact]; 21 CFR 82.51(b)(1) [exact]; 21 CFR 82.51(b)(2) [exact]; 21 CFR 82.51(b)(3) [exact]; 21 CFR 82.51(b)(3) [exact]; 21 CFR 82.50 [exact]. Query type None; semantic fallback not invoked.</t>
        </is>
      </c>
      <c r="O44" s="2" t="n">
        <v>43</v>
      </c>
      <c r="P44" s="2" t="inlineStr">
        <is>
          <t>82</t>
        </is>
      </c>
      <c r="Q44" s="2" t="inlineStr">
        <is>
          <t>Specific Requirement</t>
        </is>
      </c>
      <c r="R44" s="2" t="inlineStr">
        <is>
          <t>Intermediate</t>
        </is>
      </c>
      <c r="S44" s="2" t="inlineStr">
        <is>
          <t>21 CFR 82.51(a)(1), (a)(2), (b)</t>
        </is>
      </c>
      <c r="T44" s="2" t="n">
        <v>1</v>
      </c>
      <c r="U44" s="2" t="n">
        <v>0</v>
      </c>
      <c r="V44" s="2" t="n">
        <v>1</v>
      </c>
      <c r="W44" s="2" t="n">
        <v>2</v>
      </c>
      <c r="X44" s="2" t="n">
        <v>1</v>
      </c>
      <c r="Y44" s="2" t="inlineStr">
        <is>
          <t>Generated answer</t>
        </is>
      </c>
      <c r="Z44" s="2" t="inlineStr">
        <is>
          <t>initial True -&gt; final True</t>
        </is>
      </c>
      <c r="AA44" s="2" t="inlineStr">
        <is>
          <t>[1] = 21 CFR 82.51(a)(1); [2] = 21 CFR 82.51(a)(2); [3] = 21 CFR 82.51(a)(2); [4] = 21 CFR 82.51(b); [5] = 21 CFR 82.51(b)(1); [6] = 21 CFR 82.51(b)(2); [7] = 21 CFR 82.51(b)(3); [8] = 21 CFR 82.51(b)(3); [9] = 21 CFR 82.50</t>
        </is>
      </c>
      <c r="AB44" s="2" t="n"/>
      <c r="AC44" s="2" t="n"/>
      <c r="AD44" s="2" t="n"/>
      <c r="AE44" s="3" t="n"/>
      <c r="AF44" s="3" t="n"/>
      <c r="AG44" s="3" t="n"/>
      <c r="AH44" s="3" t="n"/>
      <c r="AI44" s="2" t="inlineStr"/>
    </row>
    <row r="45">
      <c r="A45" s="2" t="inlineStr">
        <is>
          <t>COS-82.705-Q1</t>
        </is>
      </c>
      <c r="B45" s="2" t="inlineStr">
        <is>
          <t>We supply FD&amp;C Yellow No. 5 to cosmetic makers. Under Part 82, what specifications must a batch meet for certification?</t>
        </is>
      </c>
      <c r="C45" s="2" t="inlineStr">
        <is>
          <t>§ 82.705 requires FD&amp;C Yellow No. 5 to conform in identity and specifications to § 74.705(a)(1) and (b). Under § 82.50 a subpart B batch may be certified if it also meets § 82.5 (lead not more than 0.001 percent, arsenic as As2O3 not more than 0.00014 percent, other heavy metals not more than trace).</t>
        </is>
      </c>
      <c r="D45" s="2" t="inlineStr">
        <is>
          <t>The generated answer could not be validated against the retrieved regulatory evidence. The verified text of the requested provision(s) follows.
21 CFR 82.705 (eCFR, binding, verbatim): The color additive FD&amp;C Yellow No. 5 shall conform in identity and specifications to the requirements of § 74.705 (a)(1) and (b) of this chapter [1].
21 CFR 82.50 (eCFR, binding, verbatim): A batch of a straight color listed in this subpart may be certified, in accordance with the provisions of the regulations in this part, for use in food, drugs, and cosmetics, if such batch conforms to the requirements of § 82.5 and to the specifications in this subpart set forth for such color [2].</t>
        </is>
      </c>
      <c r="E45" s="2" t="inlineStr">
        <is>
          <t>PARTIALLY FAIL</t>
        </is>
      </c>
      <c r="F45" s="2" t="inlineStr">
        <is>
          <t>Delivered only a verbatim quote of 82.705 (conform to 74.705(a)(1) and (b)) and 82.50 (conform to 82.5), with correct citations. It does not apply them or state the 82.5 subpart B limits (Pb 0.001%, As2O3 0.00014%, heavy metals trace) that the key requires.</t>
        </is>
      </c>
      <c r="G45" s="3" t="n">
        <v>30.2</v>
      </c>
      <c r="H45" s="4" t="n">
        <v>995</v>
      </c>
      <c r="I45" s="4" t="n">
        <v>191</v>
      </c>
      <c r="J45" s="2" t="inlineStr">
        <is>
          <t>mlx-community/Qwen3-4B-Instruct-2507-4bit (rev 50d42775)</t>
        </is>
      </c>
      <c r="K45" s="2" t="inlineStr">
        <is>
          <t>BAAI/bge-small-en-v1.5 (dense section candidates for promotion)</t>
        </is>
      </c>
      <c r="L45" s="2" t="inlineStr">
        <is>
          <t>SUCCESS</t>
        </is>
      </c>
      <c r="M45" s="2" t="inlineStr"/>
      <c r="N45" s="2" t="inlineStr">
        <is>
          <t>Expected CFR section(s) 82.50, 82.705: all in evidence; cited in answer: 82.50, 82.705. Evidence (2): 21 CFR 82.705 [exact]; 21 CFR 82.50 [exact]. Query type None; semantic fallback not invoked.</t>
        </is>
      </c>
      <c r="O45" s="2" t="n">
        <v>44</v>
      </c>
      <c r="P45" s="2" t="inlineStr">
        <is>
          <t>82</t>
        </is>
      </c>
      <c r="Q45" s="2" t="inlineStr">
        <is>
          <t>Applicability</t>
        </is>
      </c>
      <c r="R45" s="2" t="inlineStr">
        <is>
          <t>Basic</t>
        </is>
      </c>
      <c r="S45" s="2" t="inlineStr">
        <is>
          <t>21 CFR 82.705; 21 CFR 82.50</t>
        </is>
      </c>
      <c r="T45" s="2" t="n">
        <v>1</v>
      </c>
      <c r="U45" s="2" t="n">
        <v>0</v>
      </c>
      <c r="V45" s="2" t="n">
        <v>1</v>
      </c>
      <c r="W45" s="2" t="n">
        <v>1</v>
      </c>
      <c r="X45" s="2" t="n">
        <v>1</v>
      </c>
      <c r="Y45" s="2" t="inlineStr">
        <is>
          <t>Generated answer</t>
        </is>
      </c>
      <c r="Z45" s="2" t="inlineStr">
        <is>
          <t>initial False [unsupported_figure] -&gt; final True; repair applied</t>
        </is>
      </c>
      <c r="AA45" s="2" t="inlineStr">
        <is>
          <t>[1] = 21 CFR 82.705; [2] = 21 CFR 82.50</t>
        </is>
      </c>
      <c r="AB45" s="2" t="n"/>
      <c r="AC45" s="2" t="n"/>
      <c r="AD45" s="2" t="n"/>
      <c r="AE45" s="3" t="n"/>
      <c r="AF45" s="3" t="n"/>
      <c r="AG45" s="3" t="n"/>
      <c r="AH45" s="3" t="n"/>
      <c r="AI45" s="2" t="inlineStr"/>
    </row>
    <row r="46">
      <c r="A46" s="2" t="inlineStr">
        <is>
          <t>COS-82.706-Q1</t>
        </is>
      </c>
      <c r="B46" s="2" t="inlineStr">
        <is>
          <t>We supply FD&amp;C Yellow No. 6 to cosmetic makers. Under Part 82, what specifications must a batch meet for certification?</t>
        </is>
      </c>
      <c r="C46" s="2" t="inlineStr">
        <is>
          <t>§ 82.706 requires FD&amp;C Yellow No. 6 to conform in identity and specifications to § 74.706(a)(1) and (b). Under § 82.50 a subpart B batch may be certified if it also meets § 82.5 (lead not more than 0.001 percent, arsenic as As2O3 not more than 0.00014 percent, other heavy metals not more than trace).</t>
        </is>
      </c>
      <c r="D46" s="2" t="inlineStr">
        <is>
          <t>A batch of FD&amp;C Yellow No. 6 may be certified for use in cosmetics if it conforms to the requirements of § 82.5 and to the specifications set forth in this subpart for such color [1]. The term "straight color" includes lakes and substances permitted by the specifications for such color [2].
21 CFR 70.3(j) defines "straight color" as a color additive listed in parts 73, 74, and 81 of this chapter, and includes lakes and such substances as are permitted by the specifications for such color [2].  
21 CFR 82.50 requires that a batch of a straight color listed in this subpart conform to the requirements of § 82.5 and to the specifications in this subpart set forth for such color in order to be certified for use in food, drugs, and cosmetics [1].</t>
        </is>
      </c>
      <c r="E46" s="2" t="inlineStr">
        <is>
          <t>PARTIALLY FAIL</t>
        </is>
      </c>
      <c r="F46" s="2" t="inlineStr">
        <is>
          <t>Cites only 82.50 and 70.3(j). It omits the primary provision 82.706 and its requirement to conform to 74.706(a)(1) and (b), and never states the 82.5 limits, so it does not say what specifications apply.</t>
        </is>
      </c>
      <c r="G46" s="3" t="n">
        <v>19.1</v>
      </c>
      <c r="H46" s="4" t="n">
        <v>990</v>
      </c>
      <c r="I46" s="4" t="n">
        <v>187</v>
      </c>
      <c r="J46" s="2" t="inlineStr">
        <is>
          <t>mlx-community/Qwen3-4B-Instruct-2507-4bit (rev 50d42775)</t>
        </is>
      </c>
      <c r="K46" s="2" t="inlineStr">
        <is>
          <t>BAAI/bge-small-en-v1.5 (dense section candidates for promotion)</t>
        </is>
      </c>
      <c r="L46" s="2" t="inlineStr">
        <is>
          <t>SUCCESS</t>
        </is>
      </c>
      <c r="M46" s="2" t="inlineStr"/>
      <c r="N46" s="2" t="inlineStr">
        <is>
          <t>Expected CFR section(s) 82.50, 82.706: missing from evidence: 82.706; cited in answer: 82.50. Evidence (2): 21 CFR 82.50 [exact]; 21 CFR 70.3(j) [exact]. Query type None; semantic fallback not invoked.</t>
        </is>
      </c>
      <c r="O46" s="2" t="n">
        <v>45</v>
      </c>
      <c r="P46" s="2" t="inlineStr">
        <is>
          <t>82</t>
        </is>
      </c>
      <c r="Q46" s="2" t="inlineStr">
        <is>
          <t>Applicability</t>
        </is>
      </c>
      <c r="R46" s="2" t="inlineStr">
        <is>
          <t>Basic</t>
        </is>
      </c>
      <c r="S46" s="2" t="inlineStr">
        <is>
          <t>21 CFR 82.706; 21 CFR 82.50</t>
        </is>
      </c>
      <c r="T46" s="2" t="n">
        <v>1</v>
      </c>
      <c r="U46" s="2" t="n">
        <v>0</v>
      </c>
      <c r="V46" s="2" t="n">
        <v>1</v>
      </c>
      <c r="W46" s="2" t="n">
        <v>0</v>
      </c>
      <c r="X46" s="2" t="n">
        <v>1</v>
      </c>
      <c r="Y46" s="2" t="inlineStr">
        <is>
          <t>Generated answer</t>
        </is>
      </c>
      <c r="Z46" s="2" t="inlineStr">
        <is>
          <t>initial True -&gt; final True</t>
        </is>
      </c>
      <c r="AA46" s="2" t="inlineStr">
        <is>
          <t>[1] = 21 CFR 82.50; [2] = 21 CFR 70.3(j)</t>
        </is>
      </c>
      <c r="AB46" s="2" t="n"/>
      <c r="AC46" s="2" t="n"/>
      <c r="AD46" s="2" t="n"/>
      <c r="AE46" s="3" t="n"/>
      <c r="AF46" s="3" t="n"/>
      <c r="AG46" s="3" t="n"/>
      <c r="AH46" s="3" t="n"/>
      <c r="AI46" s="2" t="inlineStr"/>
    </row>
    <row r="47">
      <c r="A47" s="2" t="inlineStr">
        <is>
          <t>COS-82.1255-Q1</t>
        </is>
      </c>
      <c r="B47" s="2" t="inlineStr">
        <is>
          <t>We're launching a lipstick and a fluoride-free toothpaste, both colored with D&amp;C Orange No. 5. What limits apply under Part 82?</t>
        </is>
      </c>
      <c r="C47" s="2" t="inlineStr">
        <is>
          <t>82.1255(a): identity and specifications per § 74.1255(a)(1) and (b); use restricted to the uses in this section. (b): lipsticks and other cosmetics intended to be applied to the lips, not exceeding 5.0 percent by weight of the finished cosmetic products; mouthwashes, dentifrices and externally applied cosmetics, in amounts consistent with current good manufacturing practice.</t>
        </is>
      </c>
      <c r="D47" s="2" t="inlineStr">
        <is>
          <t>21 CFR 70.3(v) [3] defines "externally applied drugs and externally applied cosmetics" as substances applied only to external parts of the body and not to the lips or any body surface covered by mucous membrane, thereby excluding lipsticks and toothpastes because both are applied to mucous membrane surfaces.
21 CFR 82.1255(a) [1] requires that D&amp;C Orange No. 5 conform in identity and specifications to §74.1255(a)(1) and (b).
21 CFR 82.1255(b) [2] limits the use of D&amp;C Orange No. 5 to no more than 5.0 percent by weight in lipsticks and other cosmetics applied to the lips, and to amounts consistent with current good manufacturing practice in mouthwashes, dentifrices, and externally applied cosmetics.
21 CFR 82.1050 [4] requires that a batch of D&amp;C Orange No. 5 used in drugs or cosmetics must conform to the requirements of §82.5 and to the specifications set forth in this subpart for such color.</t>
        </is>
      </c>
      <c r="E47" s="2" t="inlineStr">
        <is>
          <t>PASS</t>
        </is>
      </c>
      <c r="F47" s="2" t="inlineStr">
        <is>
          <t>Correctly gives 82.1255(a) identity per 74.1255(a)(1) and (b), and (b) at most 5.0% for lip products and GMP amounts for dentifrices, mouthwashes and externally applied cosmetics. It also correctly notes neither product is 'externally applied' under 70.3(v), and cites 82.1050 correctly.</t>
        </is>
      </c>
      <c r="G47" s="3" t="n">
        <v>56.2</v>
      </c>
      <c r="H47" s="4" t="n">
        <v>2254</v>
      </c>
      <c r="I47" s="4" t="n">
        <v>243</v>
      </c>
      <c r="J47" s="2" t="inlineStr">
        <is>
          <t>mlx-community/Qwen3-4B-Instruct-2507-4bit (rev 50d42775)</t>
        </is>
      </c>
      <c r="K47" s="2" t="inlineStr">
        <is>
          <t>BAAI/bge-small-en-v1.5 (dense section candidates for promotion)</t>
        </is>
      </c>
      <c r="L47" s="2" t="inlineStr">
        <is>
          <t>SUCCESS</t>
        </is>
      </c>
      <c r="M47" s="2" t="inlineStr"/>
      <c r="N47" s="2" t="inlineStr">
        <is>
          <t>Expected CFR section(s) 82.1255: all in evidence; cited in answer: 82.1255. Evidence (4): 21 CFR 82.1255(a) [exact]; 21 CFR 82.1255(b) [exact]; 21 CFR 70.3(v) [exact]; 21 CFR 82.1050 [exact]. Query type None; semantic fallback not invoked.</t>
        </is>
      </c>
      <c r="O47" s="2" t="n">
        <v>46</v>
      </c>
      <c r="P47" s="2" t="inlineStr">
        <is>
          <t>82</t>
        </is>
      </c>
      <c r="Q47" s="2" t="inlineStr">
        <is>
          <t>Specific Requirement</t>
        </is>
      </c>
      <c r="R47" s="2" t="inlineStr">
        <is>
          <t>Intermediate</t>
        </is>
      </c>
      <c r="S47" s="2" t="inlineStr">
        <is>
          <t>21 CFR 82.1255(a), (b)</t>
        </is>
      </c>
      <c r="T47" s="2" t="n">
        <v>1</v>
      </c>
      <c r="U47" s="2" t="n">
        <v>0</v>
      </c>
      <c r="V47" s="2" t="n">
        <v>2</v>
      </c>
      <c r="W47" s="2" t="n">
        <v>2</v>
      </c>
      <c r="X47" s="2" t="n">
        <v>1</v>
      </c>
      <c r="Y47" s="2" t="inlineStr">
        <is>
          <t>Generated answer</t>
        </is>
      </c>
      <c r="Z47" s="2" t="inlineStr">
        <is>
          <t>initial True -&gt; final True</t>
        </is>
      </c>
      <c r="AA47" s="2" t="inlineStr">
        <is>
          <t>[3] = 21 CFR 70.3(v); [1] = 21 CFR 82.1255(a); [2] = 21 CFR 82.1255(b); [4] = 21 CFR 82.1050</t>
        </is>
      </c>
      <c r="AB47" s="2" t="n"/>
      <c r="AC47" s="2" t="n"/>
      <c r="AD47" s="2" t="n"/>
      <c r="AE47" s="3" t="n"/>
      <c r="AF47" s="3" t="n"/>
      <c r="AG47" s="3" t="n"/>
      <c r="AH47" s="3" t="n"/>
      <c r="AI47" s="2" t="inlineStr"/>
    </row>
    <row r="48">
      <c r="A48" s="2" t="inlineStr">
        <is>
          <t>COS-82.1328-Q1</t>
        </is>
      </c>
      <c r="B48" s="2" t="inlineStr">
        <is>
          <t>We make bath bombs colored with D&amp;C Red No. 28. What does 82.1328 require of the color, and does it restrict use?</t>
        </is>
      </c>
      <c r="C48" s="2" t="inlineStr">
        <is>
          <t>21 CFR 82.1328 contains one sentence: D&amp;C Red No. 28 shall conform in identity and specifications to § 74.1328(a)(1) and (b). It states no use restriction or quantitative limit. Under 82.1050 a batch of a straight color listed in Subpart C may be certified for use only in drugs and cosmetics if it conforms to 82.5 and the subpart specifications.</t>
        </is>
      </c>
      <c r="D48" s="2" t="inlineStr">
        <is>
          <t>The generated answer could not be validated against the retrieved regulatory evidence, so it is not shown. The retrieved sources were not verified to answer the question as asked, so their text is not quoted as an answer. Sources consulted: 21 CFR 82.1328, 21 CFR 82.1050.</t>
        </is>
      </c>
      <c r="E48" s="2" t="inlineStr">
        <is>
          <t>FAIL</t>
        </is>
      </c>
      <c r="F48" s="2" t="inlineStr">
        <is>
          <t>Withheld with no substantive content. It does not state the 74.1328(a)(1)/(b) conformance requirement, the absence of any use restriction, or the 82.1050 drugs-and-cosmetics-only certification.</t>
        </is>
      </c>
      <c r="G48" s="3" t="n">
        <v>21.6</v>
      </c>
      <c r="H48" s="4" t="n">
        <v>1004</v>
      </c>
      <c r="I48" s="4" t="n">
        <v>241</v>
      </c>
      <c r="J48" s="2" t="inlineStr">
        <is>
          <t>mlx-community/Qwen3-4B-Instruct-2507-4bit (rev 50d42775)</t>
        </is>
      </c>
      <c r="K48" s="2" t="inlineStr">
        <is>
          <t>BAAI/bge-small-en-v1.5 (dense section candidates for promotion)</t>
        </is>
      </c>
      <c r="L48" s="2" t="inlineStr">
        <is>
          <t>SUCCESS</t>
        </is>
      </c>
      <c r="M48" s="2" t="inlineStr"/>
      <c r="N48" s="2" t="inlineStr">
        <is>
          <t>Expected CFR section(s) 82.1050, 82.1328: all in evidence; none cited in answer. Evidence (2): 21 CFR 82.1328 [exact]; 21 CFR 82.1050 [exact]. Query type None; semantic fallback not invoked.</t>
        </is>
      </c>
      <c r="O48" s="2" t="n">
        <v>47</v>
      </c>
      <c r="P48" s="2" t="inlineStr">
        <is>
          <t>82</t>
        </is>
      </c>
      <c r="Q48" s="2" t="inlineStr">
        <is>
          <t>Specific Requirement</t>
        </is>
      </c>
      <c r="R48" s="2" t="inlineStr">
        <is>
          <t>Intermediate</t>
        </is>
      </c>
      <c r="S48" s="2" t="inlineStr">
        <is>
          <t>21 CFR 82.1328; 21 CFR 82.1050</t>
        </is>
      </c>
      <c r="T48" s="2" t="n">
        <v>0</v>
      </c>
      <c r="U48" s="2" t="n">
        <v>0</v>
      </c>
      <c r="V48" s="2" t="n">
        <v>0</v>
      </c>
      <c r="W48" s="2" t="n">
        <v>0</v>
      </c>
      <c r="X48" s="2" t="n">
        <v>1</v>
      </c>
      <c r="Y48" s="2" t="inlineStr">
        <is>
          <t>Withheld by validator (no answer shown)</t>
        </is>
      </c>
      <c r="Z48" s="2" t="inlineStr">
        <is>
          <t>initial False [unsupported_figure] -&gt; final False; repair applied; fallback unvalidated_answer_withheld</t>
        </is>
      </c>
      <c r="AA48" s="2" t="inlineStr"/>
      <c r="AB48" s="2" t="n"/>
      <c r="AC48" s="2" t="n"/>
      <c r="AD48" s="2" t="n"/>
      <c r="AE48" s="3" t="n"/>
      <c r="AF48" s="3" t="n"/>
      <c r="AG48" s="3" t="n"/>
      <c r="AH48" s="3" t="n"/>
      <c r="AI48" s="2" t="inlineStr"/>
    </row>
    <row r="49">
      <c r="A49" s="2" t="inlineStr">
        <is>
          <t>COS-82.1330-Q1</t>
        </is>
      </c>
      <c r="B49" s="2" t="inlineStr">
        <is>
          <t>Our eyeshadow palette uses D&amp;C Red No. 30. What does 82.1330 require, and does it set limits?</t>
        </is>
      </c>
      <c r="C49" s="2" t="inlineStr">
        <is>
          <t>21 CFR 82.1330 contains one sentence: D&amp;C Red No. 30 shall conform in identity and specifications to § 74.1330(a)(1) and (b). It states no use restriction or quantitative limit. Under 82.1050 a batch of a straight color listed in Subpart C may be certified for use only in drugs and cosmetics if it conforms to 82.5 and the subpart specifications.</t>
        </is>
      </c>
      <c r="D49" s="2" t="inlineStr">
        <is>
          <t>The generated answer could not be validated against the retrieved regulatory evidence. The verified text of the requested provision(s) follows.
21 CFR 82.1330 (eCFR, binding, verbatim): The color additive D&amp;C Red No. 30 shall conform in identity and specifications to the requirements of § 74.1330 (a)(1) and (b) of this chapter [1].
21 CFR 82.1050 (eCFR, binding, verbatim): A batch of a straight color listed in this subpart may be certified, in accordance with the provisions of this part, for use only in drugs and cosmetics, if such batch conforms to the requirements of § 82.5 and to the specifications set forth in this subpart for such color [2].</t>
        </is>
      </c>
      <c r="E49" s="2" t="inlineStr">
        <is>
          <t>PARTIALLY FAIL</t>
        </is>
      </c>
      <c r="F49" s="2" t="inlineStr">
        <is>
          <t>Verbatim quotes of 82.1330 and 82.1050 with correct citations. It never answers the 'does it set limits' part (the key says 82.1330 sets no use restriction or quantitative limit), so the provision is restated without being applied.</t>
        </is>
      </c>
      <c r="G49" s="3" t="n">
        <v>22.5</v>
      </c>
      <c r="H49" s="4" t="n">
        <v>1001</v>
      </c>
      <c r="I49" s="4" t="n">
        <v>282</v>
      </c>
      <c r="J49" s="2" t="inlineStr">
        <is>
          <t>mlx-community/Qwen3-4B-Instruct-2507-4bit (rev 50d42775)</t>
        </is>
      </c>
      <c r="K49" s="2" t="inlineStr">
        <is>
          <t>BAAI/bge-small-en-v1.5 (dense section candidates for promotion)</t>
        </is>
      </c>
      <c r="L49" s="2" t="inlineStr">
        <is>
          <t>SUCCESS</t>
        </is>
      </c>
      <c r="M49" s="2" t="inlineStr"/>
      <c r="N49" s="2" t="inlineStr">
        <is>
          <t>Expected CFR section(s) 82.1050, 82.1330: all in evidence; cited in answer: 82.1050, 82.1330. Evidence (2): 21 CFR 82.1330 [exact]; 21 CFR 82.1050 [exact]. Query type None; semantic fallback not invoked.</t>
        </is>
      </c>
      <c r="O49" s="2" t="n">
        <v>48</v>
      </c>
      <c r="P49" s="2" t="inlineStr">
        <is>
          <t>82</t>
        </is>
      </c>
      <c r="Q49" s="2" t="inlineStr">
        <is>
          <t>Specific Requirement</t>
        </is>
      </c>
      <c r="R49" s="2" t="inlineStr">
        <is>
          <t>Intermediate</t>
        </is>
      </c>
      <c r="S49" s="2" t="inlineStr">
        <is>
          <t>21 CFR 82.1330; 21 CFR 82.1050</t>
        </is>
      </c>
      <c r="T49" s="2" t="n">
        <v>1</v>
      </c>
      <c r="U49" s="2" t="n">
        <v>0</v>
      </c>
      <c r="V49" s="2" t="n">
        <v>1</v>
      </c>
      <c r="W49" s="2" t="n">
        <v>1</v>
      </c>
      <c r="X49" s="2" t="n">
        <v>1</v>
      </c>
      <c r="Y49" s="2" t="inlineStr">
        <is>
          <t>Generated answer</t>
        </is>
      </c>
      <c r="Z49" s="2" t="inlineStr">
        <is>
          <t>initial False [unsupported_claim, unsupported_figure] -&gt; final True; repair applied</t>
        </is>
      </c>
      <c r="AA49" s="2" t="inlineStr">
        <is>
          <t>[1] = 21 CFR 82.1330; [2] = 21 CFR 82.1050</t>
        </is>
      </c>
      <c r="AB49" s="2" t="n"/>
      <c r="AC49" s="2" t="n"/>
      <c r="AD49" s="2" t="n"/>
      <c r="AE49" s="3" t="n"/>
      <c r="AF49" s="3" t="n"/>
      <c r="AG49" s="3" t="n"/>
      <c r="AH49" s="3" t="n"/>
      <c r="AI49" s="2" t="inlineStr"/>
    </row>
    <row r="50">
      <c r="A50" s="2" t="inlineStr">
        <is>
          <t>COS-82.1331-Q1</t>
        </is>
      </c>
      <c r="B50" s="2" t="inlineStr">
        <is>
          <t>We're a small brand formulating a lip liner. Can we use D&amp;C Red No. 31 in it, and what does the regulation require of the color itself?</t>
        </is>
      </c>
      <c r="C50" s="2" t="inlineStr">
        <is>
          <t>No. 21 CFR 82.1331 restricts D&amp;C Red No. 31 to use in externally applied drugs and cosmetics. A lip liner is applied to the lips or a mucous-membrane surface, which 70.3(v) excludes from 'externally applied'. The color must also conform to § 74.1331(a)(1) and (b).</t>
        </is>
      </c>
      <c r="D50" s="2" t="inlineStr">
        <is>
          <t>Lip liner: not permitted.
21 CFR 74.2331(b) states: "D&amp;C Red No. 31 may be safely used for coloring externally applied cosmetics in amounts consistent with good manufacturing practice." [2].
21 CFR 70.3(v) states: "The terms externally applied drugs and externally applied cosmetics mean drugs or cosmetics applied only to external parts of the body and not to the lips or any body surface covered by mucous membrane." [6].
Use limit: no percentage is stated; the amount is consistent with good manufacturing practice [2].
21 CFR 74.2331(a) states: "The color additive D&amp;C Red No. 31 shall conform in identity and specifications to the requirements of § 74.1331(a)(1) and (b)." [1].
21 CFR 74.2331(c) states: "The label of the color additive shall conform to the requirements of § 70.25 of this chapter." [3].
21 CFR 74.2331(d) states: "All batches of D&amp;C Red No. 31 shall be certified in accordance with regulations in part 80 of this chapter." [4].
21 CFR 82.1331 states: "The color additive D&amp;C Red No. 31 shall conform in identity and specifications to the requirements of § 74.1331(a)(1) and (b) of this chapter. D&amp;C Red No. 31 is restricted to use in externally applied drugs and cosmetics." [5].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[7].</t>
        </is>
      </c>
      <c r="E50" s="2" t="inlineStr">
        <is>
          <t>PASS</t>
        </is>
      </c>
      <c r="F50" s="2" t="inlineStr">
        <is>
          <t>Correctly answers 'not permitted' for lip liner. It cites 82.1331's restriction to externally applied products and 70.3(v)'s exclusion of the lips, and states the 74.1331(a)(1) and (b) conformity requirement. The extra 74.2331 and 82.1050 citations are accurate.</t>
        </is>
      </c>
      <c r="G50" s="3" t="n">
        <v>12.8</v>
      </c>
      <c r="H50" s="4" t="n"/>
      <c r="I50" s="4" t="n"/>
      <c r="J50" s="2" t="inlineStr">
        <is>
          <t>mlx-community/Qwen3-4B-Instruct-2507-4bit (rev 50d42775)</t>
        </is>
      </c>
      <c r="K50" s="2" t="inlineStr">
        <is>
          <t>BAAI/bge-small-en-v1.5 (dense section candidates for promotion)</t>
        </is>
      </c>
      <c r="L50" s="2" t="inlineStr">
        <is>
          <t>SUCCESS</t>
        </is>
      </c>
      <c r="M50" s="2" t="inlineStr"/>
      <c r="N50" s="2" t="inlineStr">
        <is>
          <t>Expected CFR section(s) 70.3, 82.1331: all in evidence; cited in answer: 70.3, 82.1331. Evidence (7): 21 CFR 74.2331(a) [exact]; 21 CFR 74.2331(b) [exact]; 21 CFR 74.2331(c) [exact]; 21 CFR 74.2331(d) [exact]; 21 CFR 82.1331 [exact]; 21 CFR 70.3(v) [exact]; 21 CFR 82.1050 [exact]. Query type None; semantic fallback not invoked.</t>
        </is>
      </c>
      <c r="O50" s="2" t="n">
        <v>49</v>
      </c>
      <c r="P50" s="2" t="inlineStr">
        <is>
          <t>82</t>
        </is>
      </c>
      <c r="Q50" s="2" t="inlineStr">
        <is>
          <t>Applicability</t>
        </is>
      </c>
      <c r="R50" s="2" t="inlineStr">
        <is>
          <t>Basic</t>
        </is>
      </c>
      <c r="S50" s="2" t="inlineStr">
        <is>
          <t>21 CFR 82.1331; 21 CFR 70.3(v)</t>
        </is>
      </c>
      <c r="T50" s="2" t="n">
        <v>1</v>
      </c>
      <c r="U50" s="2" t="n">
        <v>0</v>
      </c>
      <c r="V50" s="2" t="n">
        <v>2</v>
      </c>
      <c r="W50" s="2" t="n">
        <v>2</v>
      </c>
      <c r="X50" s="2" t="n">
        <v>1</v>
      </c>
      <c r="Y50" s="2" t="inlineStr">
        <is>
          <t>Fallback: composed_from_listing</t>
        </is>
      </c>
      <c r="Z50" s="2" t="inlineStr">
        <is>
          <t>initial True -&gt; final True; fallback composed_from_listing</t>
        </is>
      </c>
      <c r="AA50" s="2" t="inlineStr">
        <is>
          <t>[2] = 21 CFR 74.2331(b); [6] = 21 CFR 70.3(v); [1] = 21 CFR 74.2331(a); [3] = 21 CFR 74.2331(c); [4] = 21 CFR 74.2331(d); [5] = 21 CFR 82.1331; [7] = 21 CFR 82.1050</t>
        </is>
      </c>
      <c r="AB50" s="2" t="n"/>
      <c r="AC50" s="2" t="n"/>
      <c r="AD50" s="2" t="n"/>
      <c r="AE50" s="3" t="n"/>
      <c r="AF50" s="3" t="n"/>
      <c r="AG50" s="3" t="n"/>
      <c r="AH50" s="3" t="n"/>
      <c r="AI50" s="2" t="inlineStr">
        <is>
          <t>input tokens not reported (model not called); output tokens not reported (model not called)</t>
        </is>
      </c>
    </row>
    <row r="51">
      <c r="A51" s="2" t="inlineStr">
        <is>
          <t>COS-82.1334-Q1</t>
        </is>
      </c>
      <c r="B51" s="2" t="inlineStr">
        <is>
          <t>Our incoming-QC team is setting acceptance limits for D&amp;C Red No. 34 used in our lipsticks. What specifications does Part 82 set for this color?</t>
        </is>
      </c>
      <c r="C51" s="2" t="inlineStr">
        <is>
          <t>82.1334: calcium salt of 3-hydroxy-4-[(1-sulfo-2-naphthalenyl)azo]-2-naphthalenecarboxylic acid. Specifications: sum of volatile matter (at 135 °C) and chlorides and sulfates (as sodium salts) ≤15%; 2-amino-1-naphthalenesulfonic acid, calcium salt ≤0.2%; 3-hydroxy-2-naphthoic acid ≤0.4%; subsidiary colors ≤4%; total color ≥85%. No use restriction stated.</t>
        </is>
      </c>
      <c r="D51" s="2" t="inlineStr">
        <is>
          <t>21 CFR 82.1334 [1]: Specifies that D&amp;C Red No. 34 is the calcium salt of 3-hydroxy-4-[(1-sulfo-2-naphthalenyl)azol-2-naphthalenecarboxylic acid.
21 CFR 82.1334 [2]: Requires that the sum of volatile matter (at 135 °C) and chlorides and sulfates (calculated as sodium salts) not exceed 15 percent.
21 CFR 82.1334 [2]: Requires that 2-amino-1-naphthalenesulfonic acid, calcium salt, not exceed 0.2 percent.
21 CFR 82.1334 [2]: Requires that 3-hydroxy-2-naphthoic acid not exceed 0.4 percent.
21 CFR 82.1334 [2]: Requires that subsidiary colors not exceed 4 percent.
21 CFR 82.1334 [2]: Requires that total color be at least 85 percent.
21 CFR 82.1050 [3]: A batch of a straight color listed in this subpart may be certified for use only in drugs and cosmetics if it conforms to § 82.5 and the specifications set forth in this subpart for such color.</t>
        </is>
      </c>
      <c r="E51" s="2" t="inlineStr">
        <is>
          <t>PASS</t>
        </is>
      </c>
      <c r="F51" s="2" t="inlineStr">
        <is>
          <t>All key specifications are given correctly and cited to 82.1334: identity, volatiles/chlorides/sulfates at most 15%, the amine at most 0.2%, 3-hydroxy-2-naphthoic acid at most 0.4%, subsidiary colors at most 4%, total color at least 85%. The 'azol' typo does not change the requirement, and the 82.1050 addition is accurate.</t>
        </is>
      </c>
      <c r="G51" s="3" t="n">
        <v>43.9</v>
      </c>
      <c r="H51" s="4" t="n">
        <v>1702</v>
      </c>
      <c r="I51" s="4" t="n">
        <v>302</v>
      </c>
      <c r="J51" s="2" t="inlineStr">
        <is>
          <t>mlx-community/Qwen3-4B-Instruct-2507-4bit (rev 50d42775)</t>
        </is>
      </c>
      <c r="K51" s="2" t="inlineStr">
        <is>
          <t>BAAI/bge-small-en-v1.5 (dense section candidates for promotion)</t>
        </is>
      </c>
      <c r="L51" s="2" t="inlineStr">
        <is>
          <t>SUCCESS</t>
        </is>
      </c>
      <c r="M51" s="2" t="inlineStr"/>
      <c r="N51" s="2" t="inlineStr">
        <is>
          <t>Expected CFR section(s) 82.1334: all in evidence; cited in answer: 82.1334. Evidence (3): 21 CFR 82.1334 [exact]; 21 CFR 82.1334 [exact]; 21 CFR 82.1050 [exact]. Query type None; semantic fallback not invoked.</t>
        </is>
      </c>
      <c r="O51" s="2" t="n">
        <v>50</v>
      </c>
      <c r="P51" s="2" t="inlineStr">
        <is>
          <t>82</t>
        </is>
      </c>
      <c r="Q51" s="2" t="inlineStr">
        <is>
          <t>Specific Requirement</t>
        </is>
      </c>
      <c r="R51" s="2" t="inlineStr">
        <is>
          <t>Advanced</t>
        </is>
      </c>
      <c r="S51" s="2" t="inlineStr">
        <is>
          <t>21 CFR 82.1334</t>
        </is>
      </c>
      <c r="T51" s="2" t="n">
        <v>1</v>
      </c>
      <c r="U51" s="2" t="n">
        <v>0</v>
      </c>
      <c r="V51" s="2" t="n">
        <v>2</v>
      </c>
      <c r="W51" s="2" t="n">
        <v>2</v>
      </c>
      <c r="X51" s="2" t="n">
        <v>1</v>
      </c>
      <c r="Y51" s="2" t="inlineStr">
        <is>
          <t>Generated answer</t>
        </is>
      </c>
      <c r="Z51" s="2" t="inlineStr">
        <is>
          <t>initial True -&gt; final True</t>
        </is>
      </c>
      <c r="AA51" s="2" t="inlineStr">
        <is>
          <t>[1] = 21 CFR 82.1334; [2] = 21 CFR 82.1334; [3] = 21 CFR 82.1050</t>
        </is>
      </c>
      <c r="AB51" s="2" t="n"/>
      <c r="AC51" s="2" t="n"/>
      <c r="AD51" s="2" t="n"/>
      <c r="AE51" s="3" t="n"/>
      <c r="AF51" s="3" t="n"/>
      <c r="AG51" s="3" t="n"/>
      <c r="AH51" s="3" t="n"/>
      <c r="AI51" s="2" t="inlineStr"/>
    </row>
    <row r="52">
      <c r="A52" s="2" t="inlineStr">
        <is>
          <t>COS-82.1336-Q1</t>
        </is>
      </c>
      <c r="B52" s="2" t="inlineStr">
        <is>
          <t>We want to make our own aluminum lake of D&amp;C Red No. 36 for a pressed blush. What does 82.1336 require of the color and of the lake?</t>
        </is>
      </c>
      <c r="C52" s="2" t="inlineStr">
        <is>
          <t>82.1336(a): D&amp;C Red No. 36 shall conform in identity and specifications to § 74.1336(a)(1) and (b). (b): all lakes of D&amp;C Red No. 36 shall be manufactured from previously certified batches of the straight color additive. The section states no other use restriction or limit.</t>
        </is>
      </c>
      <c r="D52" s="2" t="inlineStr">
        <is>
          <t>The generated answer could not be validated against the retrieved regulatory evidence. The verified text of the requested provision(s) follows.
21 CFR 82.1336(a) (eCFR, binding, verbatim): (a) The color additive D&amp;C Red No. 36 shall conform in identity and specifications to the requirements of § 74.1336 (a)(1) and (b) of this chapter [1].
21 CFR 82.1336(b) (eCFR, binding, verbatim): (b) All lakes of D&amp;C Red No. 36 shall be manufactured from previously certified batches of the straight color additive [2].
21 CFR 82.1050 (eCFR, binding, verbatim): A batch of a straight color listed in this subpart may be certified, in accordance with the provisions of this part, for use only in drugs and cosmetics, if such batch conforms to the requirements of § 82.5 and to the specifications set forth in this subpart for such color [3].</t>
        </is>
      </c>
      <c r="E52" s="2" t="inlineStr">
        <is>
          <t>PASS</t>
        </is>
      </c>
      <c r="F52" s="2" t="inlineStr">
        <is>
          <t>The answer carries a 'could not be validated' notice but quotes 82.1336(a) and (b) verbatim, which is exactly what the question asked for. It gives the color's conformity to 74.1336(a)(1) and (b) and that lakes must be made from previously certified batches. The citations are correct.</t>
        </is>
      </c>
      <c r="G52" s="3" t="n">
        <v>25.8</v>
      </c>
      <c r="H52" s="4" t="n">
        <v>1110</v>
      </c>
      <c r="I52" s="4" t="n">
        <v>251</v>
      </c>
      <c r="J52" s="2" t="inlineStr">
        <is>
          <t>mlx-community/Qwen3-4B-Instruct-2507-4bit (rev 50d42775)</t>
        </is>
      </c>
      <c r="K52" s="2" t="inlineStr">
        <is>
          <t>BAAI/bge-small-en-v1.5 (dense section candidates for promotion)</t>
        </is>
      </c>
      <c r="L52" s="2" t="inlineStr">
        <is>
          <t>SUCCESS</t>
        </is>
      </c>
      <c r="M52" s="2" t="inlineStr"/>
      <c r="N52" s="2" t="inlineStr">
        <is>
          <t>Expected CFR section(s) 82.1336: all in evidence; cited in answer: 82.1336. Evidence (3): 21 CFR 82.1336(a) [exact]; 21 CFR 82.1336(b) [exact]; 21 CFR 82.1050 [exact]. Query type None; semantic fallback not invoked.</t>
        </is>
      </c>
      <c r="O52" s="2" t="n">
        <v>51</v>
      </c>
      <c r="P52" s="2" t="inlineStr">
        <is>
          <t>82</t>
        </is>
      </c>
      <c r="Q52" s="2" t="inlineStr">
        <is>
          <t>How to Comply</t>
        </is>
      </c>
      <c r="R52" s="2" t="inlineStr">
        <is>
          <t>Intermediate</t>
        </is>
      </c>
      <c r="S52" s="2" t="inlineStr">
        <is>
          <t>21 CFR 82.1336(a), (b)</t>
        </is>
      </c>
      <c r="T52" s="2" t="n">
        <v>1</v>
      </c>
      <c r="U52" s="2" t="n">
        <v>0</v>
      </c>
      <c r="V52" s="2" t="n">
        <v>2</v>
      </c>
      <c r="W52" s="2" t="n">
        <v>2</v>
      </c>
      <c r="X52" s="2" t="n">
        <v>1</v>
      </c>
      <c r="Y52" s="2" t="inlineStr">
        <is>
          <t>Generated answer</t>
        </is>
      </c>
      <c r="Z52" s="2" t="inlineStr">
        <is>
          <t>initial False [unsupported_figure] -&gt; final True; repair applied</t>
        </is>
      </c>
      <c r="AA52" s="2" t="inlineStr">
        <is>
          <t>[1] = 21 CFR 82.1336(a); [2] = 21 CFR 82.1336(b); [3] = 21 CFR 82.1050</t>
        </is>
      </c>
      <c r="AB52" s="2" t="n"/>
      <c r="AC52" s="2" t="n"/>
      <c r="AD52" s="2" t="n"/>
      <c r="AE52" s="3" t="n"/>
      <c r="AF52" s="3" t="n"/>
      <c r="AG52" s="3" t="n"/>
      <c r="AH52" s="3" t="n"/>
      <c r="AI52" s="2" t="inlineStr"/>
    </row>
    <row r="53">
      <c r="A53" s="2" t="inlineStr">
        <is>
          <t>COS-82.1602-Q1</t>
        </is>
      </c>
      <c r="B53" s="2" t="inlineStr">
        <is>
          <t>We're a hair-care company using D&amp;C Violet No. 2 in a toning shampoo. What does 82.1602 require, and does it restrict use?</t>
        </is>
      </c>
      <c r="C53" s="2" t="inlineStr">
        <is>
          <t>21 CFR 82.1602 contains one sentence: D&amp;C Violet No. 2 shall conform in identity and specifications to § 74.1602(a)(1) and (b). It states no use restriction or quantitative limit. Under 82.1050 a batch of a straight color listed in Subpart C may be certified for use only in drugs and cosmetics if it conforms to 82.5 and the subpart specifications.</t>
        </is>
      </c>
      <c r="D53" s="2" t="inlineStr">
        <is>
          <t>The color additive D&amp;C Violet No. 2 shall conform in identity and specifications to the requirements of §74.1602(a)(1) and (b) [1].  
21 CFR 82.1602 [1] requires that D&amp;C Violet No. 2 shall conform in identity and specifications to the requirements of §74.1602(a)(1) and (b).  
21 CFR 82.1050 [2] requires that a batch of a straight color listed in this subpart may be certified for use only in drugs and cosmetics if such batch conforms to the requirements of §82.5 and to the specifications set forth in this subpart for such color.</t>
        </is>
      </c>
      <c r="E53" s="2" t="inlineStr">
        <is>
          <t>PARTIALLY FAIL</t>
        </is>
      </c>
      <c r="F53" s="2" t="inlineStr">
        <is>
          <t>It restates 82.1602 and 82.1050 correctly but never answers 'does it restrict use?'. The key's point that 82.1602 states no use restriction or quantitative limit is missing, and the 82.1050 'use only in drugs and cosmetics' wording is left uninterpreted.</t>
        </is>
      </c>
      <c r="G53" s="3" t="n">
        <v>22.1</v>
      </c>
      <c r="H53" s="4" t="n">
        <v>1395</v>
      </c>
      <c r="I53" s="4" t="n">
        <v>155</v>
      </c>
      <c r="J53" s="2" t="inlineStr">
        <is>
          <t>mlx-community/Qwen3-4B-Instruct-2507-4bit (rev 50d42775)</t>
        </is>
      </c>
      <c r="K53" s="2" t="inlineStr">
        <is>
          <t>BAAI/bge-small-en-v1.5 (dense section candidates for promotion)</t>
        </is>
      </c>
      <c r="L53" s="2" t="inlineStr">
        <is>
          <t>SUCCESS</t>
        </is>
      </c>
      <c r="M53" s="2" t="inlineStr"/>
      <c r="N53" s="2" t="inlineStr">
        <is>
          <t>Expected CFR section(s) 82.1050, 82.1602: all in evidence; cited in answer: 82.1050, 82.1602. Evidence (2): 21 CFR 82.1602 [exact]; 21 CFR 82.1050 [exact]. Query type None; semantic fallback not invoked.</t>
        </is>
      </c>
      <c r="O53" s="2" t="n">
        <v>52</v>
      </c>
      <c r="P53" s="2" t="inlineStr">
        <is>
          <t>82</t>
        </is>
      </c>
      <c r="Q53" s="2" t="inlineStr">
        <is>
          <t>Specific Requirement</t>
        </is>
      </c>
      <c r="R53" s="2" t="inlineStr">
        <is>
          <t>Intermediate</t>
        </is>
      </c>
      <c r="S53" s="2" t="inlineStr">
        <is>
          <t>21 CFR 82.1602; 21 CFR 82.1050</t>
        </is>
      </c>
      <c r="T53" s="2" t="n">
        <v>1</v>
      </c>
      <c r="U53" s="2" t="n">
        <v>0</v>
      </c>
      <c r="V53" s="2" t="n">
        <v>1</v>
      </c>
      <c r="W53" s="2" t="n">
        <v>1</v>
      </c>
      <c r="X53" s="2" t="n">
        <v>1</v>
      </c>
      <c r="Y53" s="2" t="inlineStr">
        <is>
          <t>Generated answer</t>
        </is>
      </c>
      <c r="Z53" s="2" t="inlineStr">
        <is>
          <t>initial True -&gt; final True</t>
        </is>
      </c>
      <c r="AA53" s="2" t="inlineStr">
        <is>
          <t>[1] = 21 CFR 82.1602; [2] = 21 CFR 82.1050</t>
        </is>
      </c>
      <c r="AB53" s="2" t="n"/>
      <c r="AC53" s="2" t="n"/>
      <c r="AD53" s="2" t="n"/>
      <c r="AE53" s="3" t="n"/>
      <c r="AF53" s="3" t="n"/>
      <c r="AG53" s="3" t="n"/>
      <c r="AH53" s="3" t="n"/>
      <c r="AI53" s="2" t="inlineStr"/>
    </row>
    <row r="54">
      <c r="A54" s="2" t="inlineStr">
        <is>
          <t>COS-82.2051-Q1</t>
        </is>
      </c>
      <c r="B54" s="2" t="inlineStr">
        <is>
          <t>We plan a calcium lake of an Ext. D&amp;C color on clay for a body glitter. What does Part 82 require for an Ext. D&amp;C lake?</t>
        </is>
      </c>
      <c r="C54" s="2" t="inlineStr">
        <is>
          <t>82.2051(a)(1): lake on alumina, blanc fixe, gloss white, clay, titanium dioxide, zinc oxide, talc, rosin, aluminum benzoate, calcium carbonate, or combinations, of (i) a Subpart D straight color that is a sodium, potassium, barium, or calcium salt, or (ii) a salt prepared from such a color with sodium, potassium, aluminum, barium, calcium, strontium, or zirconium. (a)(2): ether extracts ≤0.5%; soluble chlorides and sulfates ≤3.0%; intermediates ≤0.2%.</t>
        </is>
      </c>
      <c r="D54" s="2" t="inlineStr">
        <is>
          <t>Part 82 requires that an Ext. D&amp;C lake made on a clay substratum using calcium as the basic radical is permitted, provided it meets the specifications for lakes defined under §82.2051. The lake must be prepared by extending one of the straight colors (e.g., Ext. D&amp;C Yellow No. 2) with calcium and applied to a substratum such as clay; however, the specific color or type of lake is not restricted by the substrate alone—only that the preparation follows the general rules for lakes in §82.2051.
21 CFR 82.2051(a)(1) [1] permits lakes made from a straight color (e.g., Ext. D&amp;C Yellow No. 2) extended on substrata such as clay, titanium dioxide, or zinc oxide, provided the lake is formed by combining the basic radical calcium with one of the listed straight colors.
21 CFR 82.2051(a)(2) [2] and [3] require that ether extracts shall not exceed 0.5 percent; soluble chlorides and sulfates (as sodium salts) shall not exceed 3.0 percent; and intermediates shall not exceed 0.2 percent.
21 CFR 82.2051(b) [4] states each lake made as prescribed in paragraph (a) is considered a straight color and listed under the name formed by combining the original color name, the basic radical used, and the word “Lake.”
21 CFR 82.2051(b)(1) [5] requires that the listed name of the color from which the lake is prepared be included in the name.
21 CFR 82.2051(b)(2) [6] requires that the name of the basic radical combined in such color (e.g., calcium) be included in the name.
21 CFR 82.2051(b)(3) [7] requires that the word “Lake” be appended to the name, as in "Ext. D&amp;C Yellow No. 2—Calcium Lake."
21 CFR 82.2050 [8] requires a batch of a straight color (including lakes) to conform to §82.5 and to the specifications set forth in this subpart for such color to be certified for use in externally applied drugs and cosmetics.</t>
        </is>
      </c>
      <c r="E54" s="2" t="inlineStr">
        <is>
          <t>PARTIALLY FAIL</t>
        </is>
      </c>
      <c r="F54" s="2" t="inlineStr">
        <is>
          <t>The (a)(2) specifications and the (b) naming rule are correct, but the (a)(1) summary is garbled. It omits the requirement that the straight color be a sodium, potassium, barium or calcium salt (or a salt made with the listed radicals). It also truncates the substrata list and frames the answer confusingly ('permitted... not restricted by the substrate alone').</t>
        </is>
      </c>
      <c r="G54" s="3" t="n">
        <v>33.2</v>
      </c>
      <c r="H54" s="4" t="n">
        <v>1759</v>
      </c>
      <c r="I54" s="4" t="n">
        <v>503</v>
      </c>
      <c r="J54" s="2" t="inlineStr">
        <is>
          <t>mlx-community/Qwen3-4B-Instruct-2507-4bit (rev 50d42775)</t>
        </is>
      </c>
      <c r="K54" s="2" t="inlineStr">
        <is>
          <t>BAAI/bge-small-en-v1.5 (dense section candidates for promotion)</t>
        </is>
      </c>
      <c r="L54" s="2" t="inlineStr">
        <is>
          <t>SUCCESS</t>
        </is>
      </c>
      <c r="M54" s="2" t="inlineStr"/>
      <c r="N54" s="2" t="inlineStr">
        <is>
          <t>Expected CFR section(s) 82.2051: all in evidence; cited in answer: 82.2051. Evidence (8): 21 CFR 82.2051(a)(1) [exact]; 21 CFR 82.2051(a)(2) [exact]; 21 CFR 82.2051(a)(2) [exact]; 21 CFR 82.2051(b) [exact]; 21 CFR 82.2051(b)(1) [exact]; 21 CFR 82.2051(b)(2) [exact]; 21 CFR 82.2051(b)(3) [exact]; 21 CFR 82.2050 [exact]. Query type None; semantic fallback not invoked.</t>
        </is>
      </c>
      <c r="O54" s="2" t="n">
        <v>53</v>
      </c>
      <c r="P54" s="2" t="inlineStr">
        <is>
          <t>82</t>
        </is>
      </c>
      <c r="Q54" s="2" t="inlineStr">
        <is>
          <t>Specific Requirement</t>
        </is>
      </c>
      <c r="R54" s="2" t="inlineStr">
        <is>
          <t>Advanced</t>
        </is>
      </c>
      <c r="S54" s="2" t="inlineStr">
        <is>
          <t>21 CFR 82.2051(a)(1)(i)-(ii), (a)(2), (b)</t>
        </is>
      </c>
      <c r="T54" s="2" t="n">
        <v>1</v>
      </c>
      <c r="U54" s="2" t="n">
        <v>0</v>
      </c>
      <c r="V54" s="2" t="n">
        <v>1</v>
      </c>
      <c r="W54" s="2" t="n">
        <v>1</v>
      </c>
      <c r="X54" s="2" t="n">
        <v>1</v>
      </c>
      <c r="Y54" s="2" t="inlineStr">
        <is>
          <t>Generated answer</t>
        </is>
      </c>
      <c r="Z54" s="2" t="inlineStr">
        <is>
          <t>initial True -&gt; final True</t>
        </is>
      </c>
      <c r="AA54" s="2" t="inlineStr">
        <is>
          <t>[1] = 21 CFR 82.2051(a)(1); [2] = 21 CFR 82.2051(a)(2); [3] = 21 CFR 82.2051(a)(2); [4] = 21 CFR 82.2051(b); [5] = 21 CFR 82.2051(b)(1); [6] = 21 CFR 82.2051(b)(2); [7] = 21 CFR 82.2051(b)(3); [8] = 21 CFR 82.2050</t>
        </is>
      </c>
      <c r="AB54" s="2" t="n"/>
      <c r="AC54" s="2" t="n"/>
      <c r="AD54" s="2" t="n"/>
      <c r="AE54" s="3" t="n"/>
      <c r="AF54" s="3" t="n"/>
      <c r="AG54" s="3" t="n"/>
      <c r="AH54" s="3" t="n"/>
      <c r="AI54" s="2" t="inlineStr"/>
    </row>
    <row r="55">
      <c r="A55" s="2" t="inlineStr">
        <is>
          <t>COS-82.2707a-Q1</t>
        </is>
      </c>
      <c r="B55" s="2" t="inlineStr">
        <is>
          <t>We're a small brand formulating a hand cream. Can we use Ext. D&amp;C Yellow No. 7 in it, and what does the regulation require of the color itself?</t>
        </is>
      </c>
      <c r="C55" s="2" t="inlineStr">
        <is>
          <t>Within the restriction. 21 CFR 82.2707a restricts Ext. D&amp;C Yellow No. 7 to use in externally applied drugs and cosmetics; a hand cream applied only to external parts of the body fits that (70.3(v)). The color must conform in identity and specifications to § 74.1707a(a)(1) and (b). The section sets no quantitative limit.</t>
        </is>
      </c>
      <c r="D55" s="2" t="inlineStr">
        <is>
          <t>Hand cream: permitted.
21 CFR 74.2707a(b) states: "D&amp;C Yellow No. 7 may be safely used for coloring externally applied cosmetics in amounts consistent with good manufacturing practice." [2].
Use limit: no percentage is stated; the amount is consistent with good manufacturing practice [2].
21 CFR 74.2707a(a) states: "The color additive Ext. D&amp;C Yellow No. 7 shall conform in identity and specifications to the requirements of § 74.1707a (a)(1) and (b)." [1].
21 CFR 74.2707a(c) states: "The label of the color additive shall conform to the requirements of § 70.25 of this chapter." [3].
21 CFR 74.2707a(d) states: "All batches of Ext. D&amp;C Yellow No. 7 shall be certified in accordance with regulations in part 80 of this chapter." [4].
21 CFR 82.2707a states: "The color additive Ext. D&amp;C Yellow No. 7 shall conform in identity with specifications to the requirements of § 74.1707a(a)(1) and (b) of this chapter. Ext. D&amp;C Yellow No. 7 is restricted to use in externally applied drugs and cosmetics." [5].
21 CFR 70.3(v) states: "The terms externally applied drugs and externally applied cosmetics mean drugs or cosmetics applied only to external parts of the body and not to the lips or any body surface covered by mucous membrane." [6].
21 CFR 82.2050 states: "A batch of a straight color listed in this subpart may be certified, in accordance with the provisions of this part, for use in externally applied drugs and cosmetics, if such batch conforms to the requirements of § 82.5 and to the specifications set forth in this subpart for such color." [7].</t>
        </is>
      </c>
      <c r="E55" s="2" t="inlineStr">
        <is>
          <t>PASS</t>
        </is>
      </c>
      <c r="F55" s="2" t="inlineStr">
        <is>
          <t>Correctly says permitted for a hand cream under 82.2707a's externally-applied restriction and 70.3(v). It gives conformity to 74.1707a(a)(1) and (b) and says no percentage limit is stated. Minor slip: the 74.2707a(b) quote drops 'Ext.', which does not change the requirement.</t>
        </is>
      </c>
      <c r="G55" s="3" t="n">
        <v>13.3</v>
      </c>
      <c r="H55" s="4" t="n"/>
      <c r="I55" s="4" t="n"/>
      <c r="J55" s="2" t="inlineStr">
        <is>
          <t>mlx-community/Qwen3-4B-Instruct-2507-4bit (rev 50d42775)</t>
        </is>
      </c>
      <c r="K55" s="2" t="inlineStr">
        <is>
          <t>BAAI/bge-small-en-v1.5 (dense section candidates for promotion)</t>
        </is>
      </c>
      <c r="L55" s="2" t="inlineStr">
        <is>
          <t>SUCCESS</t>
        </is>
      </c>
      <c r="M55" s="2" t="inlineStr"/>
      <c r="N55" s="2" t="inlineStr">
        <is>
          <t>Expected CFR section(s) 70.3, 82.2707a: all in evidence; cited in answer: 70.3, 82.2707a. Evidence (7): 21 CFR 74.2707a(a) [exact]; 21 CFR 74.2707a(b) [exact]; 21 CFR 74.2707a(c) [exact]; 21 CFR 74.2707a(d) [exact]; 21 CFR 82.2707a [exact]; 21 CFR 70.3(v) [exact]; 21 CFR 82.2050 [exact]. Query type None; semantic fallback not invoked.</t>
        </is>
      </c>
      <c r="O55" s="2" t="n">
        <v>54</v>
      </c>
      <c r="P55" s="2" t="inlineStr">
        <is>
          <t>82</t>
        </is>
      </c>
      <c r="Q55" s="2" t="inlineStr">
        <is>
          <t>Applicability</t>
        </is>
      </c>
      <c r="R55" s="2" t="inlineStr">
        <is>
          <t>Basic</t>
        </is>
      </c>
      <c r="S55" s="2" t="inlineStr">
        <is>
          <t>21 CFR 82.2707a; 21 CFR 70.3(v)</t>
        </is>
      </c>
      <c r="T55" s="2" t="n">
        <v>1</v>
      </c>
      <c r="U55" s="2" t="n">
        <v>0</v>
      </c>
      <c r="V55" s="2" t="n">
        <v>2</v>
      </c>
      <c r="W55" s="2" t="n">
        <v>2</v>
      </c>
      <c r="X55" s="2" t="n">
        <v>1</v>
      </c>
      <c r="Y55" s="2" t="inlineStr">
        <is>
          <t>Fallback: composed_from_listing</t>
        </is>
      </c>
      <c r="Z55" s="2" t="inlineStr">
        <is>
          <t>initial True -&gt; final True; fallback composed_from_listing</t>
        </is>
      </c>
      <c r="AA55" s="2" t="inlineStr">
        <is>
          <t>[2] = 21 CFR 74.2707a(b); [1] = 21 CFR 74.2707a(a); [3] = 21 CFR 74.2707a(c); [4] = 21 CFR 74.2707a(d); [5] = 21 CFR 82.2707a; [6] = 21 CFR 70.3(v); [7] = 21 CFR 82.2050</t>
        </is>
      </c>
      <c r="AB55" s="2" t="n"/>
      <c r="AC55" s="2" t="n"/>
      <c r="AD55" s="2" t="n"/>
      <c r="AE55" s="3" t="n"/>
      <c r="AF55" s="3" t="n"/>
      <c r="AG55" s="3" t="n"/>
      <c r="AH55" s="3" t="n"/>
      <c r="AI55" s="2" t="inlineStr">
        <is>
          <t>input tokens not reported (model not called); output tokens not reported (model not called)</t>
        </is>
      </c>
    </row>
    <row r="56">
      <c r="A56" s="2" t="inlineStr">
        <is>
          <t>COS-700.3-Q2</t>
        </is>
      </c>
      <c r="B56" s="2" t="inlineStr">
        <is>
          <t>We buy a premix of three chemicals from a supplier and add it to our shampoo. Is the premix an 'ingredient' and a 'cosmetic raw material' under FDA's definitions?</t>
        </is>
      </c>
      <c r="C56" s="2" t="inlineStr">
        <is>
          <t>Yes to both. § 700.3(e): an ingredient is any single chemical entity or mixture used as a component in the manufacture of a cosmetic product. (h): a cosmetic raw material is any ingredient, including a mixture, used in manufacturing a cosmetic for commercial distribution that is supplied to a manufacturer, packer or distributor by a raw material manufacturer or supplier.</t>
        </is>
      </c>
      <c r="D56" s="2" t="inlineStr">
        <is>
          <t>The generated answer could not be validated against the retrieved regulatory evidence. The verified text of the requested provision(s) follows.
21 CFR 700.3(e) (eCFR, binding, verbatim): (e) The term ingredient means any single chemical entity or mixture used as a component in the manufacture of a cosmetic product [6].
21 CFR 700.3(h) (eCFR, binding, verbatim): (h) The term cosmetic raw material means any ingredient, including an ingredient that is a mixture, which is used in the manufacture of a cosmetic product for commercial distribution and is supplied to a cosmetic product manufacturer, packer, or distributor by a cosmetic raw material manufacturer or supplier [9].
21 CFR 700.3(a) (eCFR, binding, verbatim): (a) The term act means the Federal Food, Drug, and Cosmetic Act [2].
21 CFR 700.3(b) (eCFR, binding, verbatim): (b) The term cosmetic product means a finished cosmetic the manufacture of which has been completed. Any cosmetic product which is also a drug or device or component thereof is also subject to the requirements of Chapter V of the act [3].
21 CFR 700.3(c) (eCFR, binding, verbatim): (c) The term flavor means any natural or synthetic substance or substances used solely to impart a taste to a cosmetic product [4].
21 CFR 700.3(d) (eCFR, binding, verbatim): (d) The term fragrance means any natural or synthetic substance or substances used solely to impart an odor to a cosmetic product [5].
21 CFR 700.3(f) (eCFR, binding, verbatim): (f) The term proprietary ingredient means any cosmetic product ingredient whose name, composition, or manufacturing process is protected from competition by secrecy, patent, or copyright [7].
21 CFR 700.3(g) (eCFR, binding, verbatim): (g) The term chemical description means a concise definition of the chemical composition using standard chemical nomenclature so that the chemical structure or structures of the components of the ingredient would be clear to a practicing chemist. When the composition cannot be described chemically, the substance shall be described in terms of its source and processing [8].
21 CFR 700.3(i) (eCFR, binding, verbatim): (i) The term commercial distribution of a cosmetic product means annual gross sales in excess of $1,000 for that product [10].
21 CFR 700.3(j) (eCFR, binding, verbatim): (j) Establishment means a place of business where cosmetic products are manufactured or packaged [11].
21 CFR 700.3(k) (eCFR, binding, verbatim): (k) The term manufacture of a cosmetic product means the making of any cosmetic product by chemical, physical, biological, or other procedures, including manipulation, sampling, testing, or control procedures applied to the product [12].
21 CFR 700.3(l) (eCFR, binding, verbatim): (l) The term packaging of a cosmetic product means filling or labeling the product container, including changing the immediate container or label (but excluding changing other labeling) at any point in the distribution of the cosmetic product from the original place of manufacture to the person who makes final delivery or sale to the ultimate consumer [13].
21 CFR 700.3(m) (eCFR, binding, verbatim): (m) The term all business trading names used by the establishment means any name which is used on a cosmetic product label and owned by the cosmetic product manufacturer or packer, but is different from the principal name under which the cosmetic product manufacturer or packer is registered [14].
21 CFR 700.3(n) (eCFR, binding, verbatim): (n) The definitions and interpretations contained in sections 201, 601, and 602 of the act shall be applicable to such terms when used in the regulations in this subchapter [15].
21 CFR 700.3(o) (eCFR, binding, verbatim): (o) System of commercial distribution of a cosmetic product means any distribution outside the establishment manufacturing the product, whether for sale, to promote future sales (including free samples of the product), or to gage consumer acceptance through market testing, in excess of $1,000 in cost of goods [16].
21 CFR 700.3(p) (eCFR, binding, verbatim): (p) Filed screening procedure means a procedure that is: [17].
21 CFR 700.3(p)(1) (eCFR, binding, verbatim): (1) On file with the Food and Drug Administration and subject to public inspection; [18].
21 CFR 700.3(p)(2) (eCFR, binding, verbatim): (2) Designed to determine that there is a reasonable basis for concluding that an alleged injury did not occur in conjunction with the use of the cosmetic product; and [19].
21 CFR 700.3(p)(3) (eCFR, binding, verbatim): (3) Which is subject, upon request by the Food and Drug Administration, to an audit conducted by the Food and Drug Administration at reasonable times and, where an audit is conducted, such audit shows that the procedure is consistently being applied and that the procedure is not disregarding reportable information [20].
21 CFR 700.3(q) (eCFR, binding, verbatim): (q) Reportable experience means an experience involving any allergic reaction, or other bodily injury, alleged to be the result of the use of a cosmetic product under the conditions of use prescribed in the labeling of the product, under such conditions of use as are customary or reasonably foreseeable for the product or under conditions of misuse, that has been reported to the manufacturer, packer, or distributor of the product by the affected person or any other person having factual knowledge of the incident, other than an alleged experience which has been determined to be unfounded or spurious when evaluated by a filed screening procedure [21].</t>
        </is>
      </c>
      <c r="E56" s="2" t="inlineStr">
        <is>
          <t>FAIL</t>
        </is>
      </c>
      <c r="F56" s="2" t="inlineStr">
        <is>
          <t>This is the 'could not be validated' fallback: it dumps all of 700.3 verbatim and never answers the yes/no question. Definitions (e) and (h) are present, but the key's 'yes to both' is never stated, so the answer only quotes text.</t>
        </is>
      </c>
      <c r="G56" s="3" t="n">
        <v>68.2</v>
      </c>
      <c r="H56" s="4" t="n">
        <v>2903</v>
      </c>
      <c r="I56" s="4" t="n">
        <v>354</v>
      </c>
      <c r="J56" s="2" t="inlineStr">
        <is>
          <t>mlx-community/Qwen3-4B-Instruct-2507-4bit (rev 50d42775)</t>
        </is>
      </c>
      <c r="K56" s="2" t="inlineStr">
        <is>
          <t>BAAI/bge-small-en-v1.5 (dense section candidates for promotion)</t>
        </is>
      </c>
      <c r="L56" s="2" t="inlineStr">
        <is>
          <t>SUCCESS</t>
        </is>
      </c>
      <c r="M56" s="2" t="inlineStr"/>
      <c r="N56" s="2" t="inlineStr">
        <is>
          <t>Expected CFR section(s) 700.3: all in evidence; cited in answer: 700.3. Evidence (21): 21 CFR 700.3 [exact]; 21 CFR 700.3(a) [exact]; 21 CFR 700.3(b) [exact]; 21 CFR 700.3(c) [exact]; 21 CFR 700.3(d) [exact]; 21 CFR 700.3(e) [exact]; 21 CFR 700.3(f) [exact]; 21 CFR 700.3(g) [exact]; 21 CFR 700.3(h) [exact]; 21 CFR 700.3(i) [exact]; 21 CFR 700.3(j) [exact]; 21 CFR 700.3(k) [exact]; 21 CFR 700.3(l) [exact]; 21 CFR 700.3(m) [exact]; 21 CFR 700.3(n) [exact]; 21 CFR 700.3(o) [exact]; 21 CFR 700.3(p) [exact]; 21 CFR 700.3(p)(1) [exact]; 21 CFR 700.3(p)(2) [exact]; 21 CFR 700.3(p)(3) [exact]; 21 CFR 700.3(q) [exact]. Query type None; semantic fallback not invoked.</t>
        </is>
      </c>
      <c r="O56" s="2" t="n">
        <v>55</v>
      </c>
      <c r="P56" s="2" t="inlineStr">
        <is>
          <t>700</t>
        </is>
      </c>
      <c r="Q56" s="2" t="inlineStr">
        <is>
          <t>Specific Requirement</t>
        </is>
      </c>
      <c r="R56" s="2" t="inlineStr">
        <is>
          <t>Intermediate</t>
        </is>
      </c>
      <c r="S56" s="2" t="inlineStr">
        <is>
          <t>21 CFR 700.3(e), (h)</t>
        </is>
      </c>
      <c r="T56" s="2" t="n">
        <v>1</v>
      </c>
      <c r="U56" s="2" t="n">
        <v>0</v>
      </c>
      <c r="V56" s="2" t="n">
        <v>0</v>
      </c>
      <c r="W56" s="2" t="n">
        <v>1</v>
      </c>
      <c r="X56" s="2" t="n">
        <v>1</v>
      </c>
      <c r="Y56" s="2" t="inlineStr">
        <is>
          <t>Generated answer</t>
        </is>
      </c>
      <c r="Z56" s="2" t="inlineStr">
        <is>
          <t>initial False [condition_not_in_cited_source, enumeration_incomplete, unsupported_claim] -&gt; final True; repair applied</t>
        </is>
      </c>
      <c r="AA56" s="2" t="inlineStr">
        <is>
          <t>[6] = 21 CFR 700.3(e); [9] = 21 CFR 700.3(h); [2] = 21 CFR 700.3(a); [3] = 21 CFR 700.3(b); [4] = 21 CFR 700.3(c); [5] = 21 CFR 700.3(d); [7] = 21 CFR 700.3(f); [8] = 21 CFR 700.3(g); [10] = 21 CFR 700.3(i); [11] = 21 CFR 700.3(j); [12] = 21 CFR 700.3(k); [13] = 21 CFR 700.3(l); [14] = 21 CFR 700.3(m); [15] = 21 CFR 700.3(n); [16] = 21 CFR 700.3(o); [17] = 21 CFR 700.3(p); [18] = 21 CFR 700.3(p)(1); [19] = 21 CFR 700.3(p)(2); [20] = 21 CFR 700.3(p)(3); [21] = 21 CFR 700.3(q)</t>
        </is>
      </c>
      <c r="AB56" s="2" t="n"/>
      <c r="AC56" s="2" t="n"/>
      <c r="AD56" s="2" t="n"/>
      <c r="AE56" s="3" t="n"/>
      <c r="AF56" s="3" t="n"/>
      <c r="AG56" s="3" t="n"/>
      <c r="AH56" s="3" t="n"/>
      <c r="AI56" s="2" t="inlineStr"/>
    </row>
    <row r="57">
      <c r="A57" s="2" t="inlineStr">
        <is>
          <t>COS-700.11-Q1</t>
        </is>
      </c>
      <c r="B57" s="2" t="inlineStr">
        <is>
          <t>We're reformulating an antibacterial body wash and a supplier offers bithionol. Can we use it at a low level?</t>
        </is>
      </c>
      <c r="C57" s="2" t="inlineStr">
        <is>
          <t>No. § 700.11(a): FDA regards bithionol as a deleterious substance, and any cosmetic product containing bithionol is deemed adulterated under section 601(a) of the act. No level or exception is stated. § 700.11(b): regulatory proceedings may be initiated for any such cosmetic shipped within the act's jurisdiction after March 15, 1968.</t>
        </is>
      </c>
      <c r="D57" s="2" t="inlineStr">
        <is>
          <t>No, bithionol cannot be used in the antibacterial body wash, regardless of the level, because bithionol is deemed to render any cosmetic product containing it injurious to users under 21 CFR 700.11(a). The regulation states that bithionol is a deleterious substance and any cosmetic containing it is considered adulterated [1].
21 CFR 700.11(a) prohibits the use of bithionol in cosmetics due to its potential to cause photosensitivity in humans, with possible persistent severe reactions, and risk of cross-sensitization with other chemicals like certain halogenated salicylanilides and hexachlorophene [1].  
21 CFR 700.11(b) provides that regulatory proceedings may be initiated for any cosmetic preparation containing bithionol shipped after March 15, 1968 [2].</t>
        </is>
      </c>
      <c r="E57" s="2" t="inlineStr">
        <is>
          <t>PASS</t>
        </is>
      </c>
      <c r="F57" s="2" t="inlineStr">
        <is>
          <t>Correctly answers no, at any level: under 700.11(a) bithionol is a deleterious substance and any cosmetic containing it is adulterated. It also correctly states the photosensitization and cross-sensitization rationale and the 700.11(b) proceedings for products shipped after March 15, 1968. Citations are correct to the paragraph.</t>
        </is>
      </c>
      <c r="G57" s="3" t="n">
        <v>24.7</v>
      </c>
      <c r="H57" s="4" t="n">
        <v>1115</v>
      </c>
      <c r="I57" s="4" t="n">
        <v>194</v>
      </c>
      <c r="J57" s="2" t="inlineStr">
        <is>
          <t>mlx-community/Qwen3-4B-Instruct-2507-4bit (rev 50d42775)</t>
        </is>
      </c>
      <c r="K57" s="2" t="inlineStr">
        <is>
          <t>BAAI/bge-small-en-v1.5 (dense section candidates for promotion)</t>
        </is>
      </c>
      <c r="L57" s="2" t="inlineStr">
        <is>
          <t>SUCCESS</t>
        </is>
      </c>
      <c r="M57" s="2" t="inlineStr"/>
      <c r="N57" s="2" t="inlineStr">
        <is>
          <t>Expected CFR section(s) 700.11: all in evidence; cited in answer: 700.11. Evidence (2): 21 CFR 700.11(a) [exact]; 21 CFR 700.11(b) [exact]. Query type None; semantic fallback not invoked.</t>
        </is>
      </c>
      <c r="O57" s="2" t="n">
        <v>56</v>
      </c>
      <c r="P57" s="2" t="inlineStr">
        <is>
          <t>700</t>
        </is>
      </c>
      <c r="Q57" s="2" t="inlineStr">
        <is>
          <t>Applicability</t>
        </is>
      </c>
      <c r="R57" s="2" t="inlineStr">
        <is>
          <t>Basic</t>
        </is>
      </c>
      <c r="S57" s="2" t="inlineStr">
        <is>
          <t>21 CFR 700.11(a), (b)</t>
        </is>
      </c>
      <c r="T57" s="2" t="n">
        <v>1</v>
      </c>
      <c r="U57" s="2" t="n">
        <v>0</v>
      </c>
      <c r="V57" s="2" t="n">
        <v>2</v>
      </c>
      <c r="W57" s="2" t="n">
        <v>2</v>
      </c>
      <c r="X57" s="2" t="n">
        <v>1</v>
      </c>
      <c r="Y57" s="2" t="inlineStr">
        <is>
          <t>Generated answer</t>
        </is>
      </c>
      <c r="Z57" s="2" t="inlineStr">
        <is>
          <t>initial True -&gt; final True</t>
        </is>
      </c>
      <c r="AA57" s="2" t="inlineStr">
        <is>
          <t>[1] = 21 CFR 700.11(a); [2] = 21 CFR 700.11(b)</t>
        </is>
      </c>
      <c r="AB57" s="2" t="n"/>
      <c r="AC57" s="2" t="n"/>
      <c r="AD57" s="2" t="n"/>
      <c r="AE57" s="3" t="n"/>
      <c r="AF57" s="3" t="n"/>
      <c r="AG57" s="3" t="n"/>
      <c r="AH57" s="3" t="n"/>
      <c r="AI57" s="2" t="inlineStr"/>
    </row>
    <row r="58">
      <c r="A58" s="2" t="inlineStr">
        <is>
          <t>COS-700.23-Q1</t>
        </is>
      </c>
      <c r="B58" s="2" t="inlineStr">
        <is>
          <t>We want to launch an aerosol dry shampoo using a chlorofluorocarbon propellant (CFC-12). Can we?</t>
        </is>
      </c>
      <c r="C58" s="2" t="inlineStr">
        <is>
          <t>No. § 700.23 prohibits use of chlorofluorocarbons in cosmetics as propellants in self-pressurized containers, as provided in § 2.125. Under § 2.125(b), a cosmetic in an aerosol or pressurized dispenser releasing an ozone-depleting substance is not an essential use under the Clean Air Act unless § 2.125(e) lists it, and (e) lists no cosmetic uses.</t>
        </is>
      </c>
      <c r="D58" s="2" t="inlineStr">
        <is>
          <t>No, the use of chlorofluorocarbon (CFC-12) as a propellant in an aerosol dry shampoo is prohibited. The regulation specifically bans the use of chlorofluorocarbons in cosmetics as propellants in self-pressurized containers [1].
The use of chlorofluorocarbons in cosmetics as propellants in self-pressurized containers is prohibited as provided in § 2.125 of this chapter [1].</t>
        </is>
      </c>
      <c r="E58" s="2" t="inlineStr">
        <is>
          <t>PARTIALLY PASS</t>
        </is>
      </c>
      <c r="F58" s="2" t="inlineStr">
        <is>
          <t>The 'No' is correct and properly cited to 700.23. It never surfaces 2.125(b), (c) or (e), so the key's explanation is absent: a cosmetic aerosol is not an essential use unless listed in (e), and (e) lists none.</t>
        </is>
      </c>
      <c r="G58" s="3" t="n">
        <v>19.9</v>
      </c>
      <c r="H58" s="4" t="n">
        <v>830</v>
      </c>
      <c r="I58" s="4" t="n">
        <v>103</v>
      </c>
      <c r="J58" s="2" t="inlineStr">
        <is>
          <t>mlx-community/Qwen3-4B-Instruct-2507-4bit (rev 50d42775)</t>
        </is>
      </c>
      <c r="K58" s="2" t="inlineStr">
        <is>
          <t>BAAI/bge-small-en-v1.5 (dense section candidates for promotion)</t>
        </is>
      </c>
      <c r="L58" s="2" t="inlineStr">
        <is>
          <t>SUCCESS</t>
        </is>
      </c>
      <c r="M58" s="2" t="inlineStr"/>
      <c r="N58" s="2" t="inlineStr">
        <is>
          <t>Expected CFR section(s) 700.23: all in evidence; cited in answer: 700.23. Evidence (1): 21 CFR 700.23 [exact]. Query type None; semantic fallback not invoked.</t>
        </is>
      </c>
      <c r="O58" s="2" t="n">
        <v>57</v>
      </c>
      <c r="P58" s="2" t="inlineStr">
        <is>
          <t>700</t>
        </is>
      </c>
      <c r="Q58" s="2" t="inlineStr">
        <is>
          <t>Applicability</t>
        </is>
      </c>
      <c r="R58" s="2" t="inlineStr">
        <is>
          <t>Intermediate</t>
        </is>
      </c>
      <c r="S58" s="2" t="inlineStr">
        <is>
          <t>21 CFR 700.23; 21 CFR 2.125(b), (c), (e)</t>
        </is>
      </c>
      <c r="T58" s="2" t="n">
        <v>1</v>
      </c>
      <c r="U58" s="2" t="n">
        <v>0</v>
      </c>
      <c r="V58" s="2" t="n">
        <v>2</v>
      </c>
      <c r="W58" s="2" t="n">
        <v>1</v>
      </c>
      <c r="X58" s="2" t="n">
        <v>1</v>
      </c>
      <c r="Y58" s="2" t="inlineStr">
        <is>
          <t>Generated answer</t>
        </is>
      </c>
      <c r="Z58" s="2" t="inlineStr">
        <is>
          <t>initial True -&gt; final True</t>
        </is>
      </c>
      <c r="AA58" s="2" t="inlineStr">
        <is>
          <t>[1] = 21 CFR 700.23</t>
        </is>
      </c>
      <c r="AB58" s="2" t="n"/>
      <c r="AC58" s="2" t="n"/>
      <c r="AD58" s="2" t="n"/>
      <c r="AE58" s="3" t="n"/>
      <c r="AF58" s="3" t="n"/>
      <c r="AG58" s="3" t="n"/>
      <c r="AH58" s="3" t="n"/>
      <c r="AI58" s="2" t="inlineStr"/>
    </row>
    <row r="59">
      <c r="A59" s="2" t="inlineStr">
        <is>
          <t>COS-700.25-Q1</t>
        </is>
      </c>
      <c r="B59" s="2" t="inlineStr">
        <is>
          <t>We sell a mouthwash on open drugstore shelves. Do we need tamper-resistant packaging?</t>
        </is>
      </c>
      <c r="C59" s="2" t="inlineStr">
        <is>
          <t>Yes. § 700.25(b): each manufacturer and packer of a cosmetic liquid oral hygiene product or vaginal product for retail sale shall package it in a tamper-resistant package if the product is accessible to the public while held for sale. § 700.25(a): a product not so packaged or labeled is adulterated under section 601, misbranded under section 602, or both.</t>
        </is>
      </c>
      <c r="D59" s="2" t="inlineStr">
        <is>
          <t>Yes, you need tamper-resistant packaging for your mouthwash sold on open drugstore shelves because the product is a cosmetic liquid oral hygiene product accessible to the public while held for sale [2].  
The requirement applies if the mouthwash is packaged for retail sale and is accessible to the public during retail display; the package must have an indicator or barrier to entry that provides visible evidence of tampering if breached or missing, and this feature must be distinctive by design—meaning it cannot be duplicated with commonly available materials or processes—and must remain intact when handled in a reasonable manner during manufacture, distribution, and retail display [2].  
A prominent labeling statement is required on each retail package (except aerosol products) that alerts consumers to the specific tamper-resistant feature of the package, and this statement must remain visible even if the tamper-resistant feature is breached or missing. If the tamper-resistant feature uses an identifying characteristic (e.g., a pattern, name, logo), that characteristic must be referenced in the labeling statement [3].  
The tamper-resistant packaging requirement is effective on February 7, 1983 for products packaged for retail sale on or after that date, except for vaginal tablets, and is effective on May 5, 1983 for vaginal tablets; the full requirements, including a distinctive indicator by design and labeling statement, are effective on May 5, 1983 for all affected cosmetic products, with the specific reference to identifying characteristics becoming effective on February 6, 1984 [10][12]. The requirement is also effective on or after February 6, 1984 for products held for sale on or after that date [13].  
The requirement does not apply to aerosol products, which are defined as those depending on liquefied or compressed gas to expel contents [2].  
An exemption from the packaging and labeling requirements may be requested through a citizen petition under §700.25(d), which must include the name of the product, reasons that compliance is unnecessary or unachievable, and other information justifying an exemption [5][6][7].  
The requirement applies to all cosmetic liquid oral hygiene products accessible to the public while held for sale; it does not apply to products not accessible to the public during retail display [2].
Evidence limit: not all of the retrieved text of 21 CFR 700.25 fit in the evidence supplied for this answer (2 paragraphs left out). The answer above does not cover that text; consult the full provisions.</t>
        </is>
      </c>
      <c r="E59" s="2" t="inlineStr">
        <is>
          <t>PARTIALLY FAIL</t>
        </is>
      </c>
      <c r="F59" s="2" t="inlineStr">
        <is>
          <t>The 'yes' and the (b) and (c) obligations are mostly right, but it says 'the requirement does not apply to aerosol products', citing (b). In (b), an aerosol container is an example of 'distinctive by design'; the aerosol exception covers only the (c) labeling statement. The vaginal-tablet date is cited to (e)(1)(i)/(e)(2), not (e)(1)(ii), and the (a) adulteration/misbranding consequence is missing.</t>
        </is>
      </c>
      <c r="G59" s="3" t="n">
        <v>79.90000000000001</v>
      </c>
      <c r="H59" s="4" t="n">
        <v>3721</v>
      </c>
      <c r="I59" s="4" t="n">
        <v>477</v>
      </c>
      <c r="J59" s="2" t="inlineStr">
        <is>
          <t>mlx-community/Qwen3-4B-Instruct-2507-4bit (rev 50d42775)</t>
        </is>
      </c>
      <c r="K59" s="2" t="inlineStr">
        <is>
          <t>BAAI/bge-small-en-v1.5 (dense section candidates for promotion)</t>
        </is>
      </c>
      <c r="L59" s="2" t="inlineStr">
        <is>
          <t>SUCCESS</t>
        </is>
      </c>
      <c r="M59" s="2" t="inlineStr"/>
      <c r="N59" s="2" t="inlineStr">
        <is>
          <t>Expected CFR section(s) 700.25: all in evidence; cited in answer: 700.25. Evidence (13): 21 CFR 700.25(a) [exact]; 21 CFR 700.25(b) [exact]; 21 CFR 700.25(c) [exact]; 21 CFR 700.25(d) [exact]; 21 CFR 700.25(d)(1) [exact]; 21 CFR 700.25(d)(2) [exact]; 21 CFR 700.25(d)(4) [exact]; 21 CFR 700.25(e) [exact]; 21 CFR 700.25(e)(1) [exact]; 21 CFR 700.25(e)(1)(i) [exact]; 21 CFR 700.25(e)(1)(ii) [exact]; 21 CFR 700.25(e)(2) [exact]; 21 CFR 700.25(e)(3) [exact]. Query type None; semantic fallback not invoked.</t>
        </is>
      </c>
      <c r="O59" s="2" t="n">
        <v>58</v>
      </c>
      <c r="P59" s="2" t="inlineStr">
        <is>
          <t>700</t>
        </is>
      </c>
      <c r="Q59" s="2" t="inlineStr">
        <is>
          <t>Applicability</t>
        </is>
      </c>
      <c r="R59" s="2" t="inlineStr">
        <is>
          <t>Basic</t>
        </is>
      </c>
      <c r="S59" s="2" t="inlineStr">
        <is>
          <t>21 CFR 700.25(a), (b)</t>
        </is>
      </c>
      <c r="T59" s="2" t="n">
        <v>0</v>
      </c>
      <c r="U59" s="2" t="n">
        <v>0</v>
      </c>
      <c r="V59" s="2" t="n">
        <v>1</v>
      </c>
      <c r="W59" s="2" t="n">
        <v>1</v>
      </c>
      <c r="X59" s="2" t="n">
        <v>1</v>
      </c>
      <c r="Y59" s="2" t="inlineStr">
        <is>
          <t>Generated answer</t>
        </is>
      </c>
      <c r="Z59" s="2" t="inlineStr">
        <is>
          <t>initial True -&gt; final True</t>
        </is>
      </c>
      <c r="AA59" s="2" t="inlineStr">
        <is>
          <t>[2] = 21 CFR 700.25(b); [3] = 21 CFR 700.25(c); [10] = 21 CFR 700.25(e)(1)(i); [12] = 21 CFR 700.25(e)(2); [13] = 21 CFR 700.25(e)(3); [5] = 21 CFR 700.25(d)(1); [6] = 21 CFR 700.25(d)(2); [7] = 21 CFR 700.25(d)(4)</t>
        </is>
      </c>
      <c r="AB59" s="2" t="n"/>
      <c r="AC59" s="2" t="n"/>
      <c r="AD59" s="2" t="n"/>
      <c r="AE59" s="3" t="n"/>
      <c r="AF59" s="3" t="n"/>
      <c r="AG59" s="3" t="n"/>
      <c r="AH59" s="3" t="n"/>
      <c r="AI59" s="2" t="inlineStr"/>
    </row>
    <row r="60">
      <c r="A60" s="2" t="inlineStr">
        <is>
          <t>COS-700.25-Q3</t>
        </is>
      </c>
      <c r="B60" s="2" t="inlineStr">
        <is>
          <t>An auditor asks when the tamper-resistant packaging and labeling requirements took effect for our mouthwash and our vaginal tablets. What does the rule state?</t>
        </is>
      </c>
      <c r="C60" s="2" t="inlineStr">
        <is>
          <t>§ 700.25(e)(1) packaging: February 7, 1983 for affected products other than vaginal tablets; May 5, 1983 for vaginal tablets packaged for retail sale on or after that date. (e)(2) labeling: May 5, 1983 for the distinctive-by-design requirement and the labeling statement; February 6, 1984 for the specific reference to any identifying characteristic.</t>
        </is>
      </c>
      <c r="D60" s="2" t="inlineStr">
        <is>
          <t>The tamper-resistant packaging and labeling requirements for mouthwash and vaginal tablets took effect on different dates depending on the product type and specific requirement:
- For mouthwash: The packaging requirement (tamper-resistant package) became effective on February 7, 1983, for products packaged for retail sale on or after that date, except for the requirement that the indicator or barrier to entry be distinctive by design, which is not specified in this provision [10].  
- For vaginal tablets: The packaging requirement became effective on May 5, 1983, for products packaged for retail sale on or after that date [11].  
- The labeling requirement (including the statement about the tamper-resistant feature) was effective on February 6, 1984, for all affected cosmetic products packaged for retail sale on or after that date, except that the specific reference to an identifying characteristic in the label is required only from that date onward [12].  
- For products held for sale after February 6, 1984, the tamper-resistant packaging requirement applies as of that date, even if packaged before May 5, 1983, but this does not apply to the distinctive design requirement [13].
The rule states that the effective dates are tied to when a product is packaged for retail sale and depend on whether it is a mouthwash or vaginal tablet. The packaging requirement applies as of February 7, 1983 (for mouthwash) and May 5, 1983 (for vaginal tablets), while labeling requirements apply with specific dates tied to the type of product and the presence of an identifying characteristic [10][11][12][13].
21 CFR 700.25(e)(1)(i): The packaging requirement for mouthwash is effective on February 7, 1983, for products packaged for retail sale on or after that date, except for the distinctive indicator or barrier to entry requirement [10].  
21 CFR 700.25(e)(1)(ii): The packaging requirement for vaginal tablets is effective on May 5, 1983, for products packaged for retail sale on or after that date [11].  
21 CFR 700.25(e)(2): The labeling requirements—specifically the need for a distinctive indicator by design and the labeling statement—are effective on May 5, 1983, for all affected cosmetic products packaged for retail sale on or after that date; however, the requirement to reference an identifying characteristic in the label is effective on February 6, 1984 [12].  
21 CFR 700.25(e)(3): The tamper-resistant packaging requirement is effective on February 6, 1984 for products held for sale on or after that date if they were packaged for retail sale before May 5, 1983; this applies to the overall packaging requirement but not to the distinctive design requirement [13].
Evidence limit: not all of the retrieved text of 21 CFR 700.25 fit in the evidence supplied for this answer (2 paragraphs left out). The answer above does not cover that text; consult the full provisions.</t>
        </is>
      </c>
      <c r="E60" s="2" t="inlineStr">
        <is>
          <t>PARTIALLY FAIL</t>
        </is>
      </c>
      <c r="F60" s="2" t="inlineStr">
        <is>
          <t>The later (e)(1) and (e)(2) lines give the correct dates. But the main bullet says the labeling-statement requirement took effect February 6, 1984 (correct: May 5, 1983), and the summary wrongly ties labeling dates to product type. That internal contradiction would mislead an auditor.</t>
        </is>
      </c>
      <c r="G60" s="3" t="n">
        <v>48.1</v>
      </c>
      <c r="H60" s="4" t="n">
        <v>2731</v>
      </c>
      <c r="I60" s="4" t="n">
        <v>636</v>
      </c>
      <c r="J60" s="2" t="inlineStr">
        <is>
          <t>mlx-community/Qwen3-4B-Instruct-2507-4bit (rev 50d42775)</t>
        </is>
      </c>
      <c r="K60" s="2" t="inlineStr">
        <is>
          <t>BAAI/bge-small-en-v1.5 (dense section candidates for promotion)</t>
        </is>
      </c>
      <c r="L60" s="2" t="inlineStr">
        <is>
          <t>SUCCESS</t>
        </is>
      </c>
      <c r="M60" s="2" t="inlineStr"/>
      <c r="N60" s="2" t="inlineStr">
        <is>
          <t>Expected CFR section(s) 700.25: all in evidence; cited in answer: 700.25. Evidence (13): 21 CFR 700.25(a) [exact]; 21 CFR 700.25(b) [exact]; 21 CFR 700.25(c) [exact]; 21 CFR 700.25(d) [exact]; 21 CFR 700.25(d)(1) [exact]; 21 CFR 700.25(d)(2) [exact]; 21 CFR 700.25(d)(4) [exact]; 21 CFR 700.25(e) [exact]; 21 CFR 700.25(e)(1) [exact]; 21 CFR 700.25(e)(1)(i) [exact]; 21 CFR 700.25(e)(1)(ii) [exact]; 21 CFR 700.25(e)(2) [exact]; 21 CFR 700.25(e)(3) [exact]. Query type None; semantic fallback not invoked.</t>
        </is>
      </c>
      <c r="O60" s="2" t="n">
        <v>59</v>
      </c>
      <c r="P60" s="2" t="inlineStr">
        <is>
          <t>700</t>
        </is>
      </c>
      <c r="Q60" s="2" t="inlineStr">
        <is>
          <t>Records/Evidence</t>
        </is>
      </c>
      <c r="R60" s="2" t="inlineStr">
        <is>
          <t>Advanced</t>
        </is>
      </c>
      <c r="S60" s="2" t="inlineStr">
        <is>
          <t>21 CFR 700.25(e)(1), (e)(2)</t>
        </is>
      </c>
      <c r="T60" s="2" t="n">
        <v>1</v>
      </c>
      <c r="U60" s="2" t="n">
        <v>0</v>
      </c>
      <c r="V60" s="2" t="n">
        <v>1</v>
      </c>
      <c r="W60" s="2" t="n">
        <v>2</v>
      </c>
      <c r="X60" s="2" t="n">
        <v>1</v>
      </c>
      <c r="Y60" s="2" t="inlineStr">
        <is>
          <t>Generated answer</t>
        </is>
      </c>
      <c r="Z60" s="2" t="inlineStr">
        <is>
          <t>initial True -&gt; final True</t>
        </is>
      </c>
      <c r="AA60" s="2" t="inlineStr">
        <is>
          <t>[10] = 21 CFR 700.25(e)(1)(i); [11] = 21 CFR 700.25(e)(1)(ii); [12] = 21 CFR 700.25(e)(2); [13] = 21 CFR 700.25(e)(3)</t>
        </is>
      </c>
      <c r="AB60" s="2" t="n"/>
      <c r="AC60" s="2" t="n"/>
      <c r="AD60" s="2" t="n"/>
      <c r="AE60" s="3" t="n"/>
      <c r="AF60" s="3" t="n"/>
      <c r="AG60" s="3" t="n"/>
      <c r="AH60" s="3" t="n"/>
      <c r="AI60" s="2" t="inlineStr"/>
    </row>
    <row r="61">
      <c r="A61" s="2" t="inlineStr">
        <is>
          <t>COS-700.27-Q2</t>
        </is>
      </c>
      <c r="B61" s="2" t="inlineStr">
        <is>
          <t>We import a finished cream from Europe that contains cattle-derived ingredients. What must we do at entry, and what records must we produce?</t>
        </is>
      </c>
      <c r="C61" s="2" t="inlineStr">
        <is>
          <t>§ 700.27(c)(6): the importer of record must affirm at entry to U.S. Customs and Border Protection that the cosmetic contains cattle material and was manufactured in accordance with this section, and, if requested, provide within 5 days records sufficient to demonstrate it is not manufactured from, processed with, or otherwise containing prohibited cattle materials.</t>
        </is>
      </c>
      <c r="D61" s="2" t="inlineStr">
        <is>
          <t>At entry into the United States, an importer of a finished cream from Europe containing cattle-derived ingredients must affirm that the cream was manufactured from, processed with, or otherwise contains cattle material and that it was manufactured in accordance with 21 CFR 700.27. If requested by U.S. Customs and Border Protection, the importer must provide records within five days sufficient to demonstrate that the cosmetic is not manufactured from, processed with, or otherwise contains prohibited cattle materials. These records must be retained for two years after they were created. The cream may contain tallow provided it contains no more than 0.15 percent insoluble impurities as determined by AOCS Official Method Ca 3a-46 or an equivalent method. No cosmetic shall be manufactured from, processed with, or otherwise contain prohibited cattle materials, which include specified risk materials, small intestine of all cattle (except under specific conditions), material from nonambulatory disabled cattle, material from cattle not inspected and passed, or mechanically separated beef. The records required must establish that the cream is not manufactured from, processed with, or otherwise contains any prohibited cattle materials.
21 CFR 700.27(a)(1) defines prohibited cattle materials as specified risk materials, small intestine of all cattle (except under paragraph (b)(2)), material from nonambulatory disabled cattle, material from cattle not inspected and passed, or mechanically separated beef [2].  
21 CFR 700.27(a)(4) defines nonambulatory disabled cattle as those that cannot rise from a recumbent position or walk [7].  
21 CFR 700.27(a)(5) defines specified risk materials as brain, skull, eyes, trigeminal ganglia, spinal cord, vertebral column (excluding tail vertebrae and transverse processes), dorsal root ganglia of cattle 30 months or older, and tonsils and distal ileum of the small intestine of all cattle [8].  
21 CFR 700.27(a)(6) requires tallow to be produced from tissues that are not prohibited cattle materials or must contain no more than 0.15 percent insoluble impurities as determined by AOCS Official Method Ca 3a-46 or an equivalent method [9].  
21 CFR 700.27(a)(1)(i) excludes tallow with no more than 0.15% insoluble impurities, gelatin, hides and hide-derived products, milk and milk products, and materials inspected and passed from a designated country [3].  
21 CFR 700.27(b)(1) prohibits any cosmetic from being manufactured from, processed with, or otherwise containing prohibited cattle materials [13].  
21 CFR 700.27(c)(1) requires manufacturers and processors of a cosmetic containing cattle material to establish and maintain records sufficient to demonstrate that the product does not contain prohibited cattle materials [15].  
21 CFR 700.27(c)(2) mandates that such records be retained for two years after creation [16].  
21 CFR 700.27(c)(6) requires the importer of record to affirm, upon filing entry with U.S. Customs and Border Protection, that the cosmetic was manufactured from, processed with, or otherwise contains cattle material and was manufactured in accordance with this section; if requested, must provide records within five days demonstrating compliance [17].
Evidence limit: not all of the retrieved text of 21 CFR 700.27 fit in the evidence supplied for this answer (7 paragraphs left out). The answer above does not cover that text; consult the full provisions.</t>
        </is>
      </c>
      <c r="E61" s="2" t="inlineStr">
        <is>
          <t>PASS</t>
        </is>
      </c>
      <c r="F61" s="2" t="inlineStr">
        <is>
          <t>It correctly states the (c)(6) entry affirmation and the duty to produce records within 5 days if requested, plus the (c)(1) recordkeeping duty and (c)(2) 2-year retention. The added definitions are accurate. Minor slip: it attributes the records request to CBP.</t>
        </is>
      </c>
      <c r="G61" s="3" t="n">
        <v>52.6</v>
      </c>
      <c r="H61" s="4" t="n">
        <v>3013</v>
      </c>
      <c r="I61" s="4" t="n">
        <v>720</v>
      </c>
      <c r="J61" s="2" t="inlineStr">
        <is>
          <t>mlx-community/Qwen3-4B-Instruct-2507-4bit (rev 50d42775)</t>
        </is>
      </c>
      <c r="K61" s="2" t="inlineStr">
        <is>
          <t>BAAI/bge-small-en-v1.5 (dense section candidates for promotion)</t>
        </is>
      </c>
      <c r="L61" s="2" t="inlineStr">
        <is>
          <t>SUCCESS</t>
        </is>
      </c>
      <c r="M61" s="2" t="inlineStr"/>
      <c r="N61" s="2" t="inlineStr">
        <is>
          <t>Expected CFR section(s) 700.27: all in evidence; cited in answer: 700.27. Evidence (17): 21 CFR 700.27(a) [exact]; 21 CFR 700.27(a)(1) [exact]; 21 CFR 700.27(a)(1)(i) [exact]; 21 CFR 700.27(a)(1)(ii) [exact]; 21 CFR 700.27(a)(2) [exact]; 21 CFR 700.27(a)(3) [exact]; 21 CFR 700.27(a)(4) [exact]; 21 CFR 700.27(a)(5) [exact]; 21 CFR 700.27(a)(6) [exact]; 21 CFR 700.27(a)(7) [exact]; 21 CFR 700.27(a)(8) [exact]; 21 CFR 700.27(b) [exact]; 21 CFR 700.27(b)(1) [exact]; 21 CFR 700.27(c) [exact]; 21 CFR 700.27(c)(1) [exact]; 21 CFR 700.27(c)(2) [exact]; 21 CFR 700.27(c)(6) [exact]. Query type None; semantic fallback not invoked.</t>
        </is>
      </c>
      <c r="O61" s="2" t="n">
        <v>60</v>
      </c>
      <c r="P61" s="2" t="inlineStr">
        <is>
          <t>700</t>
        </is>
      </c>
      <c r="Q61" s="2" t="inlineStr">
        <is>
          <t>Records/Evidence</t>
        </is>
      </c>
      <c r="R61" s="2" t="inlineStr">
        <is>
          <t>Advanced</t>
        </is>
      </c>
      <c r="S61" s="2" t="inlineStr">
        <is>
          <t>21 CFR 700.27(c)(6), (c)(1)</t>
        </is>
      </c>
      <c r="T61" s="2" t="n">
        <v>1</v>
      </c>
      <c r="U61" s="2" t="n">
        <v>0</v>
      </c>
      <c r="V61" s="2" t="n">
        <v>2</v>
      </c>
      <c r="W61" s="2" t="n">
        <v>2</v>
      </c>
      <c r="X61" s="2" t="n">
        <v>1</v>
      </c>
      <c r="Y61" s="2" t="inlineStr">
        <is>
          <t>Generated answer</t>
        </is>
      </c>
      <c r="Z61" s="2" t="inlineStr">
        <is>
          <t>initial True -&gt; final True</t>
        </is>
      </c>
      <c r="AA61" s="2" t="inlineStr">
        <is>
          <t>[2] = 21 CFR 700.27(a)(1); [7] = 21 CFR 700.27(a)(4); [8] = 21 CFR 700.27(a)(5); [9] = 21 CFR 700.27(a)(6); [3] = 21 CFR 700.27(a)(1)(i); [13] = 21 CFR 700.27(b)(1); [15] = 21 CFR 700.27(c)(1); [16] = 21 CFR 700.27(c)(2); [17] = 21 CFR 700.27(c)(6)</t>
        </is>
      </c>
      <c r="AB61" s="2" t="n"/>
      <c r="AC61" s="2" t="n"/>
      <c r="AD61" s="2" t="n"/>
      <c r="AE61" s="3" t="n"/>
      <c r="AF61" s="3" t="n"/>
      <c r="AG61" s="3" t="n"/>
      <c r="AH61" s="3" t="n"/>
      <c r="AI61" s="2" t="inlineStr"/>
    </row>
    <row r="62">
      <c r="A62" s="2" t="inlineStr">
        <is>
          <t>COS-700.27-Q3</t>
        </is>
      </c>
      <c r="B62" s="2" t="inlineStr">
        <is>
          <t>A supplier offers cattle-derived material from animals that could not walk at slaughter, though otherwise healthy. Can we use it in our cosmetics?</t>
        </is>
      </c>
      <c r="C62" s="2" t="inlineStr">
        <is>
          <t>No. § 700.27(a)(4): nonambulatory disabled cattle cannot rise from a recumbent position or cannot walk, including from broken appendages, severed tendons or ligaments, nerve paralysis, fractured vertebral column or metabolic conditions. Material from such cattle is a prohibited cattle material under (a)(1), and (b)(1) bars cosmetics made from, processed with, or containing it.</t>
        </is>
      </c>
      <c r="D62" s="2" t="inlineStr">
        <is>
          <t>The generated answer could not be validated against the retrieved regulatory evidence, so it is not shown. The retrieved sources were not verified to answer the question as asked, so their text is not quoted as an answer. Sources consulted: 21 CFR 700.27(a), 21 CFR 700.27(a)(1), 21 CFR 700.27(a)(1)(i), 21 CFR 700.27(a)(1)(ii), 21 CFR 700.27(a)(4) and 10 more.
Evidence limit: not all of the retrieved text of 21 CFR 700.27 fit in the evidence supplied for this answer (9 paragraphs left out). The answer above does not cover that text; consult the full provisions.</t>
        </is>
      </c>
      <c r="E62" s="2" t="inlineStr">
        <is>
          <t>FAIL</t>
        </is>
      </c>
      <c r="F62" s="2" t="inlineStr">
        <is>
          <t>Withheld. Nothing was answered and no citation was given, so the key's 'No' under 700.27(a)(4), (a)(1) and (b)(1) was never delivered.</t>
        </is>
      </c>
      <c r="G62" s="3" t="n">
        <v>75.90000000000001</v>
      </c>
      <c r="H62" s="4" t="n">
        <v>2958</v>
      </c>
      <c r="I62" s="4" t="n">
        <v>517</v>
      </c>
      <c r="J62" s="2" t="inlineStr">
        <is>
          <t>mlx-community/Qwen3-4B-Instruct-2507-4bit (rev 50d42775)</t>
        </is>
      </c>
      <c r="K62" s="2" t="inlineStr">
        <is>
          <t>BAAI/bge-small-en-v1.5 (dense section candidates for promotion)</t>
        </is>
      </c>
      <c r="L62" s="2" t="inlineStr">
        <is>
          <t>SUCCESS</t>
        </is>
      </c>
      <c r="M62" s="2" t="inlineStr"/>
      <c r="N62" s="2" t="inlineStr">
        <is>
          <t>Expected CFR section(s) 700.27: all in evidence; none cited in answer. Evidence (15): 21 CFR 700.27(a) [exact]; 21 CFR 700.27(a)(1) [exact]; 21 CFR 700.27(a)(1)(i) [exact]; 21 CFR 700.27(a)(1)(ii) [exact]; 21 CFR 700.27(a)(4) [exact]; 21 CFR 700.27(a)(5) [exact]; 21 CFR 700.27(a)(6) [exact]; 21 CFR 700.27(a)(8) [exact]; 21 CFR 700.27(b) [exact]; 21 CFR 700.27(b)(1) [exact]; 21 CFR 700.27(b)(2) [exact]; 21 CFR 700.27(c) [exact]; 21 CFR 700.27(c)(1) [exact]; 21 CFR 700.27(c)(6) [exact]; 21 CFR 700.27(e) [exact]. Query type None; semantic fallback not invoked.</t>
        </is>
      </c>
      <c r="O62" s="2" t="n">
        <v>61</v>
      </c>
      <c r="P62" s="2" t="inlineStr">
        <is>
          <t>700</t>
        </is>
      </c>
      <c r="Q62" s="2" t="inlineStr">
        <is>
          <t>Specific Requirement</t>
        </is>
      </c>
      <c r="R62" s="2" t="inlineStr">
        <is>
          <t>Advanced</t>
        </is>
      </c>
      <c r="S62" s="2" t="inlineStr">
        <is>
          <t>21 CFR 700.27(a)(1), (a)(4), (b)(1)</t>
        </is>
      </c>
      <c r="T62" s="2" t="n">
        <v>0</v>
      </c>
      <c r="U62" s="2" t="n">
        <v>0</v>
      </c>
      <c r="V62" s="2" t="n">
        <v>0</v>
      </c>
      <c r="W62" s="2" t="n">
        <v>0</v>
      </c>
      <c r="X62" s="2" t="n">
        <v>1</v>
      </c>
      <c r="Y62" s="2" t="inlineStr">
        <is>
          <t>Withheld by validator (no answer shown)</t>
        </is>
      </c>
      <c r="Z62" s="2" t="inlineStr">
        <is>
          <t>initial False [provision_citation_mismatch, unsupported_claim] -&gt; final False; repair applied; fallback unvalidated_answer_withheld</t>
        </is>
      </c>
      <c r="AA62" s="2" t="inlineStr"/>
      <c r="AB62" s="2" t="n"/>
      <c r="AC62" s="2" t="n"/>
      <c r="AD62" s="2" t="n"/>
      <c r="AE62" s="3" t="n"/>
      <c r="AF62" s="3" t="n"/>
      <c r="AG62" s="3" t="n"/>
      <c r="AH62" s="3" t="n"/>
      <c r="AI62" s="2" t="inlineStr"/>
    </row>
    <row r="63">
      <c r="A63" s="2" t="inlineStr">
        <is>
          <t>COS-701.1-Q1</t>
        </is>
      </c>
      <c r="B63" s="2" t="inlineStr">
        <is>
          <t>Our 'Avocado &amp; Shea Hand Cream' has 12 ingredients, including avocado oil and shea butter, all listed on the back. Could the name still be misleading?</t>
        </is>
      </c>
      <c r="C63" s="2" t="inlineStr">
        <is>
          <t>Possibly. § 701.1(b): the labeling of a cosmetic made from two or more ingredients may be misleading if the name of the cosmetic includes or suggests the name of one or more, but not all, of its ingredients, even though all ingredients are named elsewhere in the labeling. The section says 'may be'; it does not make every such name automatically misleading.</t>
        </is>
      </c>
      <c r="D63" s="2" t="inlineStr">
        <is>
          <t>The name "Avocado &amp; Shea Hand Cream" could be misleading under 21 CFR 701.1(b) because the label names the product after two ingredients—avocado and shea—but does not list all ingredients, even though the cream contains more than just these two. The provision specifically addresses labeling that suggests inclusion of one or more ingredients when not all are present, which may constitute a misleading representation [2].
21 CFR 701.1(b) prohibits labeling a cosmetic with a name that implies the presence of certain ingredients (like avocado and shea) if those ingredients are not all included in the product, even though the full list of ingredients is stated elsewhere on the label [2]. This means the name "Avocado &amp; Shea Hand Cream" may be misleading because it suggests the product contains only these two ingredients or implies a focus on them when other ingredients are also present. The misbranding occurs if the name suggests inclusion of one or more but not all ingredients, which is prohibited under this regulation [2].</t>
        </is>
      </c>
      <c r="E63" s="2" t="inlineStr">
        <is>
          <t>PARTIALLY FAIL</t>
        </is>
      </c>
      <c r="F63" s="2" t="inlineStr">
        <is>
          <t>Cites 701.1(b) correctly and gets the direction right ('may be misleading'). But it misreads the facts, saying not all ingredients are listed, and misreads the rule as covering named ingredients that are 'not all included in the product'. It also calls the practice 'prohibited', where the key stresses the section only says 'may be' misleading.</t>
        </is>
      </c>
      <c r="G63" s="3" t="n">
        <v>24.6</v>
      </c>
      <c r="H63" s="4" t="n">
        <v>938</v>
      </c>
      <c r="I63" s="4" t="n">
        <v>213</v>
      </c>
      <c r="J63" s="2" t="inlineStr">
        <is>
          <t>mlx-community/Qwen3-4B-Instruct-2507-4bit (rev 50d42775)</t>
        </is>
      </c>
      <c r="K63" s="2" t="inlineStr">
        <is>
          <t>BAAI/bge-small-en-v1.5 (dense section candidates for promotion)</t>
        </is>
      </c>
      <c r="L63" s="2" t="inlineStr">
        <is>
          <t>SUCCESS</t>
        </is>
      </c>
      <c r="M63" s="2" t="inlineStr"/>
      <c r="N63" s="2" t="inlineStr">
        <is>
          <t>Expected CFR section(s) 701.1: all in evidence; cited in answer: 701.1. Evidence (2): 21 CFR 701.1(a) [exact]; 21 CFR 701.1(b) [exact]. Query type None; semantic fallback not invoked.</t>
        </is>
      </c>
      <c r="O63" s="2" t="n">
        <v>62</v>
      </c>
      <c r="P63" s="2" t="inlineStr">
        <is>
          <t>701</t>
        </is>
      </c>
      <c r="Q63" s="2" t="inlineStr">
        <is>
          <t>Specific Requirement</t>
        </is>
      </c>
      <c r="R63" s="2" t="inlineStr">
        <is>
          <t>Intermediate</t>
        </is>
      </c>
      <c r="S63" s="2" t="inlineStr">
        <is>
          <t>21 CFR 701.1(b)</t>
        </is>
      </c>
      <c r="T63" s="2" t="n">
        <v>1</v>
      </c>
      <c r="U63" s="2" t="n">
        <v>0</v>
      </c>
      <c r="V63" s="2" t="n">
        <v>1</v>
      </c>
      <c r="W63" s="2" t="n">
        <v>1</v>
      </c>
      <c r="X63" s="2" t="n">
        <v>1</v>
      </c>
      <c r="Y63" s="2" t="inlineStr">
        <is>
          <t>Generated answer</t>
        </is>
      </c>
      <c r="Z63" s="2" t="inlineStr">
        <is>
          <t>initial True -&gt; final True</t>
        </is>
      </c>
      <c r="AA63" s="2" t="inlineStr">
        <is>
          <t>[2] = 21 CFR 701.1(b)</t>
        </is>
      </c>
      <c r="AB63" s="2" t="n"/>
      <c r="AC63" s="2" t="n"/>
      <c r="AD63" s="2" t="n"/>
      <c r="AE63" s="3" t="n"/>
      <c r="AF63" s="3" t="n"/>
      <c r="AG63" s="3" t="n"/>
      <c r="AH63" s="3" t="n"/>
      <c r="AI63" s="2" t="inlineStr"/>
    </row>
    <row r="64">
      <c r="A64" s="2" t="inlineStr">
        <is>
          <t>COS-701.2-Q1</t>
        </is>
      </c>
      <c r="B64" s="2" t="inlineStr">
        <is>
          <t>Our required label information is printed in tiny light-gray type on silver foil on the jar bottom. Could FDA find it not prominent enough?</t>
        </is>
      </c>
      <c r="C64" s="2" t="inlineStr">
        <is>
          <t>Yes. § 701.2(a) lists reasons required information may lack the prominence and conspicuousness required by section 602(c), including (1) failure to appear on the part of the label presented under customary conditions of purchase, and (6) smallness or style of type, insufficient background contrast, obscuring designs or vignettes, or crowding with other matter.</t>
        </is>
      </c>
      <c r="D64" s="2" t="inlineStr">
        <is>
          <t>Yes, FDA could find the required label information not prominent enough because the smallness or style of type in which such information appears—specifically, tiny light-gray type on silver foil at the jar bottom—would constitute an insufficiency of prominence due to insufficient background contrast and crowding with other written or graphic matter. This is addressed under 21 CFR 701.2(a)(6), which identifies smallness or style of type, insufficient background contrast, and obscuring designs as factors that may render required information not prominent enough [7].
21 CFR 701.2(a)(6) specifies that smallness or style of type in which such word, statement, or information appears, insufficient background contrast, obscuring designs or vignettes, or crowding with other written, printed, or graphic matter may result in a failure to meet the prominence and conspicuousness required by section 602(c) of the Act [7].</t>
        </is>
      </c>
      <c r="E64" s="2" t="inlineStr">
        <is>
          <t>PARTIALLY PASS</t>
        </is>
      </c>
      <c r="F64" s="2" t="inlineStr">
        <is>
          <t>Correct 'Yes', with 701.2(a)(6) properly applied to small type and poor background contrast. It omits 701.2(a)(1), failure to appear on the part of the label presented under customary conditions of purchase, which is the key element for printing on the jar bottom.</t>
        </is>
      </c>
      <c r="G64" s="3" t="n">
        <v>27.1</v>
      </c>
      <c r="H64" s="4" t="n">
        <v>1893</v>
      </c>
      <c r="I64" s="4" t="n">
        <v>195</v>
      </c>
      <c r="J64" s="2" t="inlineStr">
        <is>
          <t>mlx-community/Qwen3-4B-Instruct-2507-4bit (rev 50d42775)</t>
        </is>
      </c>
      <c r="K64" s="2" t="inlineStr">
        <is>
          <t>BAAI/bge-small-en-v1.5 (dense section candidates for promotion)</t>
        </is>
      </c>
      <c r="L64" s="2" t="inlineStr">
        <is>
          <t>SUCCESS</t>
        </is>
      </c>
      <c r="M64" s="2" t="inlineStr"/>
      <c r="N64" s="2" t="inlineStr">
        <is>
          <t>Expected CFR section(s) 701.2: all in evidence; cited in answer: 701.2. Evidence (10): 21 CFR 701.2(a) [exact]; 21 CFR 701.2(a)(1) [exact]; 21 CFR 701.2(a)(2) [exact]; 21 CFR 701.2(a)(3) [exact]; 21 CFR 701.2(a)(4) [exact]; 21 CFR 701.2(a)(5) [exact]; 21 CFR 701.2(a)(6) [exact]; 21 CFR 701.2(b)(1) [exact]; 21 CFR 701.2(b)(2) [exact]; 21 CFR 701.2(b)(3) [exact]. Query type None; semantic fallback not invoked.</t>
        </is>
      </c>
      <c r="O64" s="2" t="n">
        <v>63</v>
      </c>
      <c r="P64" s="2" t="inlineStr">
        <is>
          <t>701</t>
        </is>
      </c>
      <c r="Q64" s="2" t="inlineStr">
        <is>
          <t>Specific Requirement</t>
        </is>
      </c>
      <c r="R64" s="2" t="inlineStr">
        <is>
          <t>Intermediate</t>
        </is>
      </c>
      <c r="S64" s="2" t="inlineStr">
        <is>
          <t>21 CFR 701.2(a)(1), (a)(6)</t>
        </is>
      </c>
      <c r="T64" s="2" t="n">
        <v>1</v>
      </c>
      <c r="U64" s="2" t="n">
        <v>0</v>
      </c>
      <c r="V64" s="2" t="n">
        <v>2</v>
      </c>
      <c r="W64" s="2" t="n">
        <v>1</v>
      </c>
      <c r="X64" s="2" t="n">
        <v>1</v>
      </c>
      <c r="Y64" s="2" t="inlineStr">
        <is>
          <t>Generated answer</t>
        </is>
      </c>
      <c r="Z64" s="2" t="inlineStr">
        <is>
          <t>initial True -&gt; final True</t>
        </is>
      </c>
      <c r="AA64" s="2" t="inlineStr">
        <is>
          <t>[7] = 21 CFR 701.2(a)(6)</t>
        </is>
      </c>
      <c r="AB64" s="2" t="n"/>
      <c r="AC64" s="2" t="n"/>
      <c r="AD64" s="2" t="n"/>
      <c r="AE64" s="3" t="n"/>
      <c r="AF64" s="3" t="n"/>
      <c r="AG64" s="3" t="n"/>
      <c r="AH64" s="3" t="n"/>
      <c r="AI64" s="2" t="inlineStr"/>
    </row>
    <row r="65">
      <c r="A65" s="2" t="inlineStr">
        <is>
          <t>COS-701.3-Q3</t>
        </is>
      </c>
      <c r="B65" s="2" t="inlineStr">
        <is>
          <t>Our eyeshadow line has 20 shades on the same base, sold under one brand. Can one ingredient list with 'may contain' for colors cover all of them?</t>
        </is>
      </c>
      <c r="C65" s="2" t="inlineStr">
        <is>
          <t>§ 701.3(g)(2) allows 'may contain' when (i) one declaration covers similar products with the same use, (ii) they are shaded products in the § 720.4(c)(3), (7) or (8)(v) categories, (iii) all are sold under a common trade name or brand with no non-common name in labeling, and (iv) the ingredient is a color additive. (g)(1) also allows it for color additives added to some batches for color matching.</t>
        </is>
      </c>
      <c r="D65" s="2" t="inlineStr">
        <is>
          <t>Yes, one ingredient list with "may contain" for colors can cover all 20 shades of eyeshadow sold under one brand, provided that: (1) the product line shares a common trade name or brand designation, and (2) no individual shade has a different brand or trade name appearing in its labeling. This is permitted under 21 CFR 701.3(g)(2)(iii), which allows a single ingredient declaration to apply to all products sold under a common brand if they share the same ingredient list and no distinct brand designation appears on any individual product [3]. Additionally, the list may include "may contain" statements for ingredients not present in the product, as allowed by 21 CFR 701.3(g) [2], provided that such declarations are made only when the ingredient is identified by the phrase “may contain” and all products share a common brand or trade name [3].
21 CFR 701.3(b) requires that the declaration of ingredients appear with prominence and conspicuousness, in letters not less than 1/16 of an inch in height, and may be placed on a tag, tape, or card if space is insufficient on the package [1].  
21 CFR 701.3(g) permits a declaration to include an ingredient not present in the product if it is identified by the phrase “may contain” [2].  
21 CFR 701.3(g)(2)(iii) requires that all products sharing the common declaration must be sold under a common trade name or brand designation, and no individual product may have a different trade name or brand designation in its labeling [3].  
21 CFR 701.3(o)(1) allows for a single list of ingredients common to all products in an assortment (e.g., eyeshadows of different colors), with a statement identifying the other ingredients and specifying which products contain them, provided the list is not misleading and is as informative as practicable [11].  
21 CFR 701.3(o)(2) permits a single ingredient list for products sold together in the same package if the total surface area available for labeling is less than 12 square inches [12].  
The available regulatory sources do not provide enough information to determine whether "may contain" statements can be used for colorants specifically, as no provision addresses colorant presence or absence. However, since the question involves a single brand with multiple shades and common formulation, the conditions in 701.3(g)(2)(iii) and (o)(1) support the use of one ingredient list with "may contain" if all products share the same brand name and no individual shade has a different trade name [3][11].  
Note: The requirement that the declaration must be conspicuous, in letters not less than 1/16 inch, applies generally to all ingredient declarations [1], but does not restrict the use of "may contain" for colorants.
21 CFR 701.30: not found in the available eCFR data.
21 CFR 701.3(i)(2) (eCFR, binding, verbatim): (2) The cosmetic products are “shaded” products, i.e., those falling within the product categories identified in § 720.4 (c)(3), (7) and (8)(v) of this chapter, and are held for sale in tightly compartmented trays or racks. The holder of the labeling bearing the declaration of ingredients shall be attached to a display chart bearing samples of the product shades, which is displayed to purchasers. Such a display chart shall be of such construction and design as to permit its continuous use as a display, such as on a counter, and shall be designed for the primary purpose of displaying samples of the shades of the products [5].
21 CFR 701.3(k) (eCFR, binding, verbatim): (k) Any use of a display unit or chart bearing labeling under the provisions of paragraph (i) of this section shall meet the following requirements: [6].
21 CFR 701.3(k)(4) (eCFR, binding, verbatim): (4) Any labeling containing a declaration of ingredients which reflects a formulation change and not shipped accompanying a display unit or chart shall be dated. Whenever any formulation change is made, and the labeling containing the declaration of ingredients is thereby required to be used in conjunction with products of both the old and new formulations, the labeling shall declare the ingredients of both the old and new formulations separately in a way that is not misleading and in a way that permits the purchaser to identify the ingredient declaration applicable to each package, or which clearly advises the purchaser that the formulation has been changed and that either declaration may be applicable [7].
21 CFR 701.3(k)(5) (eCFR, binding, verbatim): (5) Sufficient copies of the declaration of ingredients shall be provided with each shipment of a cosmetic so that a purchaser may obtain a copy of the declaration with each purchase. Display units and replacement labeling for display units shall be accompanied by instructions to the retailer, which when followed will result in compliance with the requirements of this section. Copies of the declaration accompanying refills shall be attached to the specific refill items to which they pertain, or shall be packed with the specific refill items to which they pertain, in a container that does not contain other cosmetic products [8].
21 CFR 701.3(m) (eCFR, binding, verbatim): (m) In the event that there is a current or anticipated shortage of a cosmetic ingredient, the declaration required by this section may specify alternatives to any ingredients that may be affected. An alternative ingredient shall be declared either (1) immediately following the normally used ingredient for which it substitutes, in which case it shall be identified as an alternative ingredient by the word “or” following the name of the normally used ingredient and any other alternative ingredient, or (2) following the declaration of all normally used ingredients, in which case the alternative ingredients in the group so listed shall be listed in expected descending order of predominance or in accordance with the provisions of paragraph (f) of this section and shall be identified as alternative ingredients by the phrase “may also contain”. This paragraph is inapplicable to any ingredient mentioned in advertising, or in labeling other than in the declaration of ingredients required by this section [9].
Evidence limit: not all of the retrieved text of 21 CFR 701.3 and 21 CFR 701.30 fit in the evidence supplied for this answer (58 paragraphs left out). The answer above does not cover that text; consult the full provisions.</t>
        </is>
      </c>
      <c r="E65" s="2" t="inlineStr">
        <is>
          <t>PARTIALLY FAIL</t>
        </is>
      </c>
      <c r="F65" s="2" t="inlineStr">
        <is>
          <t>Gives only the common-brand condition of (g)(2)(iii). It omits (g)(2)(i) same-use similar products, (ii) the shaded 720.4(c)(3) category and (iv) the color-additive limit, and it omits (g)(1) entirely. It frames 'may contain' as allowed for any ingredient not present, and wrongly says no provision addresses colorants, although (g) does exactly that.</t>
        </is>
      </c>
      <c r="G65" s="3" t="n">
        <v>96.2</v>
      </c>
      <c r="H65" s="4" t="n">
        <v>2811</v>
      </c>
      <c r="I65" s="4" t="n">
        <v>619</v>
      </c>
      <c r="J65" s="2" t="inlineStr">
        <is>
          <t>mlx-community/Qwen3-4B-Instruct-2507-4bit (rev 50d42775)</t>
        </is>
      </c>
      <c r="K65" s="2" t="inlineStr">
        <is>
          <t>BAAI/bge-small-en-v1.5 (dense section candidates for promotion)</t>
        </is>
      </c>
      <c r="L65" s="2" t="inlineStr">
        <is>
          <t>SUCCESS</t>
        </is>
      </c>
      <c r="M65" s="2" t="inlineStr"/>
      <c r="N65" s="2" t="inlineStr">
        <is>
          <t>Expected CFR section(s) 701.3: all in evidence; cited in answer: 701.3. Evidence (12): 21 CFR 701.3(b) [exact]; 21 CFR 701.3(g) [exact]; 21 CFR 701.3(g)(2)(iii) [exact]; 21 CFR 701.3(i) [exact]; 21 CFR 701.3(i)(2) [exact]; 21 CFR 701.3(k) [exact]; 21 CFR 701.3(k)(4) [exact]; 21 CFR 701.3(k)(5) [exact]; 21 CFR 701.3(m) [exact]; 21 CFR 701.3(o) [exact]; 21 CFR 701.3(o)(1) [exact]; 21 CFR 701.3(o)(2) [exact]. Query type None; semantic fallback not invoked.</t>
        </is>
      </c>
      <c r="O65" s="2" t="n">
        <v>64</v>
      </c>
      <c r="P65" s="2" t="inlineStr">
        <is>
          <t>701</t>
        </is>
      </c>
      <c r="Q65" s="2" t="inlineStr">
        <is>
          <t>How to Comply</t>
        </is>
      </c>
      <c r="R65" s="2" t="inlineStr">
        <is>
          <t>Advanced</t>
        </is>
      </c>
      <c r="S65" s="2" t="inlineStr">
        <is>
          <t>21 CFR 701.3(g)(2), (g)(1)</t>
        </is>
      </c>
      <c r="T65" s="2" t="n">
        <v>1</v>
      </c>
      <c r="U65" s="2" t="n">
        <v>0</v>
      </c>
      <c r="V65" s="2" t="n">
        <v>1</v>
      </c>
      <c r="W65" s="2" t="n">
        <v>1</v>
      </c>
      <c r="X65" s="2" t="n">
        <v>1</v>
      </c>
      <c r="Y65" s="2" t="inlineStr">
        <is>
          <t>Generated answer</t>
        </is>
      </c>
      <c r="Z65" s="2" t="inlineStr">
        <is>
          <t>initial False [enumeration_incomplete, requirement_not_addressed] -&gt; final True; repair applied</t>
        </is>
      </c>
      <c r="AA65" s="2" t="inlineStr">
        <is>
          <t>[3] = 21 CFR 701.3(g)(2)(iii); [2] = 21 CFR 701.3(g); [1] = 21 CFR 701.3(b); [11] = 21 CFR 701.3(o)(1); [12] = 21 CFR 701.3(o)(2); [5] = 21 CFR 701.3(i)(2); [6] = 21 CFR 701.3(k); [7] = 21 CFR 701.3(k)(4); [8] = 21 CFR 701.3(k)(5); [9] = 21 CFR 701.3(m)</t>
        </is>
      </c>
      <c r="AB65" s="2" t="n"/>
      <c r="AC65" s="2" t="n"/>
      <c r="AD65" s="2" t="n"/>
      <c r="AE65" s="3" t="n"/>
      <c r="AF65" s="3" t="n"/>
      <c r="AG65" s="3" t="n"/>
      <c r="AH65" s="3" t="n"/>
      <c r="AI65" s="2" t="inlineStr"/>
    </row>
    <row r="66">
      <c r="A66" s="2" t="inlineStr">
        <is>
          <t>COS-701.9-Q2</t>
        </is>
      </c>
      <c r="B66" s="2" t="inlineStr">
        <is>
          <t>Part of a bulk lotion shipment held at our own labeling plant left the plant mislabeled. What happens to the labeling exemption?</t>
        </is>
      </c>
      <c r="C66" s="2" t="inlineStr">
        <is>
          <t>§ 701.9(b): an exemption under (a)(1) becomes void from the beginning of the removal of any part of the shipment from the establishment if that part is adulterated or misbranded when removed. The mislabeled portion's exemption is void from the start of its removal.</t>
        </is>
      </c>
      <c r="D66" s="2" t="inlineStr">
        <is>
          <t>The labeling exemption for the bulk lotion shipment held at the plant is void ab initio if the cosmetic is mislabeled, as misbranding constitutes a violation that terminates the exemption under the conditions specified in 21 CFR 701.9(d)(1) and 701.9(b). The exemption does not survive once the cosmetic is found to be misbranded during removal from the establishment.
The labeling exemption for a shipment of bulk lotion held at a labeling plant is conditional upon the presence of a written agreement between the person who introduced the shipment and the operator of the establishment where it is processed, labeled, or repacked. This agreement must specify processing, labeling, or repacking details that ensure the cosmetic will not be adulterated or misbranded upon completion of such actions. If the shipment is mislabeled, the exemption becomes void ab initio as a result of the misbranding, per 21 CFR 701.9(d)(1). 
The exemption does not apply if the person who introduced the shipment into interstate commerce refuses to make available for inspection a copy of the written agreement required under paragraph (a)(2), which would cause the exemption to become void ab initio with respect to that person, as specified in 21 CFR 701.9(c). 
The requirement that such an agreement be kept by both parties until two years after the final shipment or delivery from the establishment is mandated under 21 CFR 701.9(a)(2), and copies must be made available for inspection at any reasonable hour upon request, as required in 21 CFR 701.9(a)(2). 
The exemption does not apply if the cosmetic is mislabeled during movement or holding because such misbranding triggers immediate voidance of the exemption under 21 CFR 701.9(d)(1), regardless of whether the agreement was properly executed or maintained.
21 CFR 701.9(a)(2) [3]  
21 CFR 701.9(b) [4]  
21 CFR 701.9(c) [5]  
21 CFR 701.9(d)(1) [6]  
21 CFR 701.9(d)(2) [8]</t>
        </is>
      </c>
      <c r="E66" s="2" t="inlineStr">
        <is>
          <t>FAIL</t>
        </is>
      </c>
      <c r="F66" s="2" t="inlineStr">
        <is>
          <t>For an own-plant shipment the key is 701.9(b): the exemption is void from the start of removal for the misbranded part. The answer rests mainly on 701.9(d)(1), which covers (a)(2) agreement shipments and says 'expire', not void ab initio. It also says the exemption depends on a written agreement, which an own-plant shipment does not need, and invents a trigger for mislabeling 'during movement or holding'.</t>
        </is>
      </c>
      <c r="G66" s="3" t="n">
        <v>36.1</v>
      </c>
      <c r="H66" s="4" t="n">
        <v>1792</v>
      </c>
      <c r="I66" s="4" t="n">
        <v>480</v>
      </c>
      <c r="J66" s="2" t="inlineStr">
        <is>
          <t>mlx-community/Qwen3-4B-Instruct-2507-4bit (rev 50d42775)</t>
        </is>
      </c>
      <c r="K66" s="2" t="inlineStr">
        <is>
          <t>BAAI/bge-small-en-v1.5 (dense section candidates for promotion)</t>
        </is>
      </c>
      <c r="L66" s="2" t="inlineStr">
        <is>
          <t>SUCCESS</t>
        </is>
      </c>
      <c r="M66" s="2" t="inlineStr"/>
      <c r="N66" s="2" t="inlineStr">
        <is>
          <t>Expected CFR section(s) 701.9: all in evidence; cited in answer: 701.9. Evidence (8): 21 CFR 701.9(a) [exact]; 21 CFR 701.9(a)(1) [exact]; 21 CFR 701.9(a)(2) [exact]; 21 CFR 701.9(b) [exact]; 21 CFR 701.9(c) [exact]; 21 CFR 701.9(d) [exact]; 21 CFR 701.9(d)(1) [exact]; 21 CFR 701.9(d)(2) [exact]. Query type None; semantic fallback not invoked.</t>
        </is>
      </c>
      <c r="O66" s="2" t="n">
        <v>65</v>
      </c>
      <c r="P66" s="2" t="inlineStr">
        <is>
          <t>701</t>
        </is>
      </c>
      <c r="Q66" s="2" t="inlineStr">
        <is>
          <t>Application Scenario</t>
        </is>
      </c>
      <c r="R66" s="2" t="inlineStr">
        <is>
          <t>Advanced</t>
        </is>
      </c>
      <c r="S66" s="2" t="inlineStr">
        <is>
          <t>21 CFR 701.9(b)</t>
        </is>
      </c>
      <c r="T66" s="2" t="n">
        <v>0</v>
      </c>
      <c r="U66" s="2" t="n">
        <v>1</v>
      </c>
      <c r="V66" s="2" t="n">
        <v>0</v>
      </c>
      <c r="W66" s="2" t="n">
        <v>1</v>
      </c>
      <c r="X66" s="2" t="n">
        <v>1</v>
      </c>
      <c r="Y66" s="2" t="inlineStr">
        <is>
          <t>Generated answer</t>
        </is>
      </c>
      <c r="Z66" s="2" t="inlineStr">
        <is>
          <t>initial True -&gt; final True</t>
        </is>
      </c>
      <c r="AA66" s="2" t="inlineStr">
        <is>
          <t>[3] = 21 CFR 701.9(a)(2); [4] = 21 CFR 701.9(b); [5] = 21 CFR 701.9(c); [6] = 21 CFR 701.9(d); [8] = 21 CFR 701.9(d)(2)</t>
        </is>
      </c>
      <c r="AB66" s="2" t="n"/>
      <c r="AC66" s="2" t="n"/>
      <c r="AD66" s="2" t="n"/>
      <c r="AE66" s="3" t="n"/>
      <c r="AF66" s="3" t="n"/>
      <c r="AG66" s="3" t="n"/>
      <c r="AH66" s="3" t="n"/>
      <c r="AI66" s="2" t="inlineStr"/>
    </row>
    <row r="67">
      <c r="A67" s="2" t="inlineStr">
        <is>
          <t>COS-701.11-Q1</t>
        </is>
      </c>
      <c r="B67" s="2" t="inlineStr">
        <is>
          <t>Our product is named 'Midnight Muse.' Is that enough as the statement of identity on the front panel?</t>
        </is>
      </c>
      <c r="C67" s="2" t="inlineStr">
        <is>
          <t>§ 701.11(a): the PDP must bear a statement of identity as one of its principal features. (b): it may be (1) the common or usual name; (2) an appropriately descriptive name or, where the nature of the cosmetic is obvious, a fanciful name understood by the public to identify it; or (3) an appropriate illustration or vignette of intended use. 'Midnight Muse' works only if the product's nature is obvious.</t>
        </is>
      </c>
      <c r="D67" s="2" t="inlineStr">
        <is>
          <t>The name "Midnight Muse" is not sufficient as a statement of identity on the front panel of a cosmetic product because 21 CFR 701.11(b) requires the statement of identity to be either the common or usual name of the cosmetic, an appropriately descriptive name, a fanciful name understood by the public when the nature of the cosmetic is obvious, or an appropriate illustration or vignette. The provision does not establish that "Midnight Muse" meets any of these criteria, and no source confirms that such a name qualifies as a fanciful name understood by the public [4]. The requirement for the statement of identity to be presented in bold type and in a size reasonably related to the most prominent printed matter on the panel applies, but does not establish acceptance of "Midnight Muse" as an identity [1].
The common or usual name of the cosmetic shall be used as the statement of identity [3].  
An appropriately descriptive name or, when the nature of the cosmetic is obvious, a fanciful name understood by the public to identify such cosmetic may be used [4].  
An appropriate illustration or vignette representing the intended cosmetic use may serve as the statement of identity [5].  
The available regulatory sources do not provide enough information to determine whether "Midnight Muse" qualifies as a fanciful name understood by the public in this context.</t>
        </is>
      </c>
      <c r="E67" s="2" t="inlineStr">
        <is>
          <t>PARTIALLY FAIL</t>
        </is>
      </c>
      <c r="F67" s="2" t="inlineStr">
        <is>
          <t>It opens by saying flatly that 'Midnight Muse' is not sufficient and then contradicts itself. The key says the name works if the product's nature is obvious. The bold-type and size requirement is cited to 701.11(a) but is in (c), and (b)(1) is misstated as 'shall be used'.</t>
        </is>
      </c>
      <c r="G67" s="3" t="n">
        <v>45.9</v>
      </c>
      <c r="H67" s="4" t="n">
        <v>1767</v>
      </c>
      <c r="I67" s="4" t="n">
        <v>277</v>
      </c>
      <c r="J67" s="2" t="inlineStr">
        <is>
          <t>mlx-community/Qwen3-4B-Instruct-2507-4bit (rev 50d42775)</t>
        </is>
      </c>
      <c r="K67" s="2" t="inlineStr">
        <is>
          <t>BAAI/bge-small-en-v1.5 (dense section candidates for promotion)</t>
        </is>
      </c>
      <c r="L67" s="2" t="inlineStr">
        <is>
          <t>SUCCESS</t>
        </is>
      </c>
      <c r="M67" s="2" t="inlineStr"/>
      <c r="N67" s="2" t="inlineStr">
        <is>
          <t>Expected CFR section(s) 701.11: all in evidence; cited in answer: 701.11. Evidence (6): 21 CFR 701.11(a) [exact]; 21 CFR 701.11(b) [exact]; 21 CFR 701.11(b)(1) [exact]; 21 CFR 701.11(b)(2) [exact]; 21 CFR 701.11(b)(3) [exact]; 21 CFR 701.11(c) [exact]. Query type None; semantic fallback not invoked.</t>
        </is>
      </c>
      <c r="O67" s="2" t="n">
        <v>66</v>
      </c>
      <c r="P67" s="2" t="inlineStr">
        <is>
          <t>701</t>
        </is>
      </c>
      <c r="Q67" s="2" t="inlineStr">
        <is>
          <t>Specific Requirement</t>
        </is>
      </c>
      <c r="R67" s="2" t="inlineStr">
        <is>
          <t>Basic</t>
        </is>
      </c>
      <c r="S67" s="2" t="inlineStr">
        <is>
          <t>21 CFR 701.11(a), (b)</t>
        </is>
      </c>
      <c r="T67" s="2" t="n">
        <v>0</v>
      </c>
      <c r="U67" s="2" t="n">
        <v>0</v>
      </c>
      <c r="V67" s="2" t="n">
        <v>1</v>
      </c>
      <c r="W67" s="2" t="n">
        <v>1</v>
      </c>
      <c r="X67" s="2" t="n">
        <v>1</v>
      </c>
      <c r="Y67" s="2" t="inlineStr">
        <is>
          <t>Generated answer</t>
        </is>
      </c>
      <c r="Z67" s="2" t="inlineStr">
        <is>
          <t>initial True -&gt; final True</t>
        </is>
      </c>
      <c r="AA67" s="2" t="inlineStr">
        <is>
          <t>[4] = 21 CFR 701.11(b)(2); [1] = 21 CFR 701.11(a); [3] = 21 CFR 701.11(b)(1); [5] = 21 CFR 701.11(b)(3)</t>
        </is>
      </c>
      <c r="AB67" s="2" t="n"/>
      <c r="AC67" s="2" t="n"/>
      <c r="AD67" s="2" t="n"/>
      <c r="AE67" s="3" t="n"/>
      <c r="AF67" s="3" t="n"/>
      <c r="AG67" s="3" t="n"/>
      <c r="AH67" s="3" t="n"/>
      <c r="AI67" s="2" t="inlineStr"/>
    </row>
    <row r="68">
      <c r="A68" s="2" t="inlineStr">
        <is>
          <t>COS-701.13-Q2</t>
        </is>
      </c>
      <c r="B68" s="2" t="inlineStr">
        <is>
          <t>Our lip pencil holds less than 1/4 ounce and there's no room on the PDP. Are we exempt from the net quantity declaration?</t>
        </is>
      </c>
      <c r="C68" s="2" t="inlineStr">
        <is>
          <t>Not exempt. § 701.13(e)(1): for boudoir-type containers (cartridge, pill box, compact or pencil) and containers of one-fourth ounce or less, the principal display panel may be a tear-away tag or tape affixed to the decorative container, bearing the mandatory label information; type size follows the container's dimensions. § 701.13(f)(1): bottom-30 percent placement does not apply to PDPs of 5 square inches or less if otherwise compliant.</t>
        </is>
      </c>
      <c r="D68" s="2" t="inlineStr">
        <is>
          <t>The generated answer could not be validated against the retrieved regulatory evidence, so it is not shown. The retrieved sources were not verified to answer the question as asked, so their text is not quoted as an answer. Sources consulted: FD&amp;C Act § 603 [21 U.S.C. 363].</t>
        </is>
      </c>
      <c r="E68" s="2" t="inlineStr">
        <is>
          <t>FAIL</t>
        </is>
      </c>
      <c r="F68" s="2" t="inlineStr">
        <is>
          <t>Withheld. It does not say the product is not exempt, and it does not give the 701.13(e)(1) tear-away tag/tape PDP rule or the (f)(1) 5 sq in waiver.</t>
        </is>
      </c>
      <c r="G68" s="3" t="n">
        <v>35</v>
      </c>
      <c r="H68" s="4" t="n">
        <v>894</v>
      </c>
      <c r="I68" s="4" t="n">
        <v>225</v>
      </c>
      <c r="J68" s="2" t="inlineStr">
        <is>
          <t>mlx-community/Qwen3-4B-Instruct-2507-4bit (rev 50d42775)</t>
        </is>
      </c>
      <c r="K68" s="2" t="inlineStr">
        <is>
          <t>BAAI/bge-small-en-v1.5 (dense section candidates for promotion)</t>
        </is>
      </c>
      <c r="L68" s="2" t="inlineStr">
        <is>
          <t>SUCCESS</t>
        </is>
      </c>
      <c r="M68" s="2" t="inlineStr"/>
      <c r="N68" s="2" t="inlineStr">
        <is>
          <t>Expected CFR section(s) 701.13: none in evidence; none cited in answer. Evidence (1): FD&amp;C Act § 603 [21 U.S.C. 363] [supporting]. Query type None; semantic fallback not invoked.</t>
        </is>
      </c>
      <c r="O68" s="2" t="n">
        <v>67</v>
      </c>
      <c r="P68" s="2" t="inlineStr">
        <is>
          <t>701</t>
        </is>
      </c>
      <c r="Q68" s="2" t="inlineStr">
        <is>
          <t>Exemption</t>
        </is>
      </c>
      <c r="R68" s="2" t="inlineStr">
        <is>
          <t>Advanced</t>
        </is>
      </c>
      <c r="S68" s="2" t="inlineStr">
        <is>
          <t>21 CFR 701.13(e)(1), (f)(1)</t>
        </is>
      </c>
      <c r="T68" s="2" t="n">
        <v>0</v>
      </c>
      <c r="U68" s="2" t="n">
        <v>0</v>
      </c>
      <c r="V68" s="2" t="n">
        <v>0</v>
      </c>
      <c r="W68" s="2" t="n">
        <v>0</v>
      </c>
      <c r="X68" s="2" t="n">
        <v>1</v>
      </c>
      <c r="Y68" s="2" t="inlineStr">
        <is>
          <t>Withheld by validator (no answer shown)</t>
        </is>
      </c>
      <c r="Z68" s="2" t="inlineStr">
        <is>
          <t>initial False [unsupported_claim] -&gt; final True; repair applied; fallback unvalidated_answer_withheld</t>
        </is>
      </c>
      <c r="AA68" s="2" t="inlineStr"/>
      <c r="AB68" s="2" t="n"/>
      <c r="AC68" s="2" t="n"/>
      <c r="AD68" s="2" t="n"/>
      <c r="AE68" s="3" t="n"/>
      <c r="AF68" s="3" t="n"/>
      <c r="AG68" s="3" t="n"/>
      <c r="AH68" s="3" t="n"/>
      <c r="AI68" s="2" t="inlineStr"/>
    </row>
    <row r="69">
      <c r="A69" s="2" t="inlineStr">
        <is>
          <t>COS-701.20-Q1</t>
        </is>
      </c>
      <c r="B69" s="2" t="inlineStr">
        <is>
          <t>Our 'beauty bar' is a syndet made with sodium cocoyl isethionate, and we call it 'soap' on the label. Does FDA treat it as soap?</t>
        </is>
      </c>
      <c r="C69" s="2" t="inlineStr">
        <is>
          <t>No. § 701.20(a): FDA interprets 'soap' to apply only where (1) the bulk of the nonvolatile matter is an alkali salt of fatty acids and its detergent properties are due to those compounds, and (2) the product is labeled, sold and represented only as soap. A synthetic-detergent bar fails (a)(1). § 701.20(b): body-cleansing products not meeting (a) are cosmetics subject to the act and regulations.</t>
        </is>
      </c>
      <c r="D69" s="2" t="inlineStr">
        <is>
          <t>The available regulatory sources do not provide enough information to answer whether FDA treats a beauty bar made with sodium cocoyl isethionate, labeled as "soap," as soap under 21 CFR 720.4 or 701.3(c). The provided evidence does not define what constitutes "soap" for regulatory purposes, nor does it address the classification of syndets (synthetic detergents) or their treatment in relation to labeling as "soap."
21 CFR 720.4(a)(1) [2] requires the name and address of the person designated on the label. 
21 CFR 720.4(a)(2) [3] requires the name and address of the manufacturer or packer if different from the person designated on the label. 
21 CFR 720.4(a)(4) [5] requires the cosmetic product category or categories. 
21 CFR 720.4(a)(5) [6] requires the ingredients in the product. 
21 CFR 720.4(b)(1) [8] requires providing the information requested in paragraph (a). 
21 CFR 720.4(b)(3) [10] requires providing poison control centers with ingredient information and/or adequate diagnostic and therapeutic procedures for accidental ingestion or use. 
21 CFR 720.4(b)(4) [11] requires providing ingredient information to a licensed physician who requests assistance in determining if an ingredient is causing a patient's condition. 
21 CFR 720.4(c)(1)(i) [14] lists baby shampoos as a category of baby products. 
21 CFR 720.4(c)(1)(ii) [15] lists lotions, oils, powders, and creams as baby products. 
21 CFR 720.4(c)(1)(iii) [16] lists other baby products. 
21 CFR 720.4(c)(2)(i) [18] lists bath oils, tablets, and salts as bath preparations. 
21 CFR 720.4(c)(2)(ii) [19] lists bubble baths as bath preparations. 
21 CFR 720.4(c)(2)(iii) [20] lists bath capsules as bath preparations. 
21 CFR 720.4(c)(2)(iv) [21] lists other bath preparations. 
21 CFR 720.4(c)(3)(i) [23] lists eyebrow pencil as an eye makeup preparation. 
21 CFR 720.4(c)(3)(ii) [24] lists eyeliner as an eye makeup preparation.
None of the provisions in 21 CFR 720.4 address whether a product containing sodium cocoyl isethionate, labeled as "soap," is classified as soap under FDA regulations. The listed categories (e.g., baby products, bath preparations) do not include or define syndet-based beauty bars labeled as soap. Therefore, the regulatory text does not establish that such a product is treated as soap.
21 CFR 720.4 (eCFR, binding, verbatim): (a) Form FDA-2512 requests information on: [1]. (1) The name and address, including post office ZIP code of the person (manufacturer, packer, or distributor) designated on the label of the product [2]. (2) The name and address, including post office ZIP code, of the manufacturer or packer of the product if different from the person designated on the label of the product, when the manufacturer or packer submits the information requested under this paragraph [3].
21 CFR 701.3(c): not found in the available eCFR data.
21 CFR 720.4(b) (eCFR, binding, verbatim): (b) The person filing Form FDA-2512 should: [7].
21 CFR 720.4(b)(2) (eCFR, binding, verbatim): (2) Have the form signed by an authorized individual [9].
21 CFR 720.4(c) (eCFR, binding, verbatim): (c) One or more of the following cosmetic product categories should be cited to indicate the product's intended use [12].
Evidence limit: not all of the retrieved text of 21 CFR 720.4 and 21 CFR 701.3(c) fit in the evidence supplied for this answer (77 paragraphs left out). The answer above does not cover that text; consult the full provisions.</t>
        </is>
      </c>
      <c r="E69" s="2" t="inlineStr">
        <is>
          <t>FAIL</t>
        </is>
      </c>
      <c r="F69" s="2" t="inlineStr">
        <is>
          <t>Declines and never surfaces 701.20(a)/(b), which define soap and make a syndet bar a cosmetic. It cites irrelevant 720.4 provisions and turns the voluntary Form 2512 'should' items into requirements ('requires'), which counts as invented requirements.</t>
        </is>
      </c>
      <c r="G69" s="3" t="n">
        <v>97.3</v>
      </c>
      <c r="H69" s="4" t="n">
        <v>2809</v>
      </c>
      <c r="I69" s="4" t="n">
        <v>695</v>
      </c>
      <c r="J69" s="2" t="inlineStr">
        <is>
          <t>mlx-community/Qwen3-4B-Instruct-2507-4bit (rev 50d42775)</t>
        </is>
      </c>
      <c r="K69" s="2" t="inlineStr">
        <is>
          <t>BAAI/bge-small-en-v1.5 (dense section candidates for promotion)</t>
        </is>
      </c>
      <c r="L69" s="2" t="inlineStr">
        <is>
          <t>SUCCESS</t>
        </is>
      </c>
      <c r="M69" s="2" t="inlineStr"/>
      <c r="N69" s="2" t="inlineStr">
        <is>
          <t>Expected CFR section(s) 701.20: none in evidence; none cited in answer. Evidence (24): 21 CFR 720.4(a) [exact]; 21 CFR 720.4(a)(1) [exact]; 21 CFR 720.4(a)(2) [exact]; 21 CFR 720.4(a)(3) [exact]; 21 CFR 720.4(a)(4) [exact]; 21 CFR 720.4(a)(5) [exact]; 21 CFR 720.4(b) [exact]; 21 CFR 720.4(b)(1) [exact]; 21 CFR 720.4(b)(2) [exact]; 21 CFR 720.4(b)(3) [exact]; 21 CFR 720.4(b)(4) [exact]; 21 CFR 720.4(c) [exact]; 21 CFR 720.4(c)(1) [exact]; 21 CFR 720.4(c)(1)(i) [exact]; 21 CFR 720.4(c)(1)(ii) [exact]; 21 CFR 720.4(c)(1)(iii) [exact]; 21 CFR 720.4(c)(2) [exact]; 21 CFR 720.4(c)(2)(i) [exact]; 21 CFR 720.4(c)(2)(ii) [exact]; 21 CFR 720.4(c)(2)(iii) [exact]; 21 CFR 720.4(c)(2)(iv) [exact]; 21 CFR 720.4(c)(3) [exact]; 21 CFR 720.4(c)(3)(i) [exact]; 21 CFR 720.4(c)(3)(ii) [exact]. Query type None; semantic fallback not invoked.</t>
        </is>
      </c>
      <c r="O69" s="2" t="n">
        <v>68</v>
      </c>
      <c r="P69" s="2" t="inlineStr">
        <is>
          <t>701</t>
        </is>
      </c>
      <c r="Q69" s="2" t="inlineStr">
        <is>
          <t>Applicability</t>
        </is>
      </c>
      <c r="R69" s="2" t="inlineStr">
        <is>
          <t>Intermediate</t>
        </is>
      </c>
      <c r="S69" s="2" t="inlineStr">
        <is>
          <t>21 CFR 701.20(a), (b)</t>
        </is>
      </c>
      <c r="T69" s="2" t="n">
        <v>0</v>
      </c>
      <c r="U69" s="2" t="n">
        <v>1</v>
      </c>
      <c r="V69" s="2" t="n">
        <v>0</v>
      </c>
      <c r="W69" s="2" t="n">
        <v>0</v>
      </c>
      <c r="X69" s="2" t="n">
        <v>1</v>
      </c>
      <c r="Y69" s="2" t="inlineStr">
        <is>
          <t>Generated answer</t>
        </is>
      </c>
      <c r="Z69" s="2" t="inlineStr">
        <is>
          <t>initial False [enumeration_incomplete, provision_citation_mismatch] -&gt; final True; repair applied</t>
        </is>
      </c>
      <c r="AA69" s="2" t="inlineStr">
        <is>
          <t>[2] = 21 CFR 720.4(a)(1); [3] = 21 CFR 720.4(a)(2); [5] = 21 CFR 720.4(a)(4); [6] = 21 CFR 720.4(a)(5); [8] = 21 CFR 720.4(b)(1); [10] = 21 CFR 720.4(b)(3); [11] = 21 CFR 720.4(b)(4); [14] = 21 CFR 720.4(c)(1)(i); [15] = 21 CFR 720.4(c)(1)(ii); [16] = 21 CFR 720.4(c)(1)(iii); [18] = 21 CFR 720.4(c)(2)(i); [19] = 21 CFR 720.4(c)(2)(ii); [20] = 21 CFR 720.4(c)(2)(iii); [21] = 21 CFR 720.4(c)(2)(iv); [23] = 21 CFR 720.4(c)(3)(i); [24] = 21 CFR 720.4(c)(3)(ii); [1] = 21 CFR 720.4(a); [7] = 21 CFR 720.4(b); [9] = 21 CFR 720.4(b)(2); [12] = 21 CFR 720.4(c)</t>
        </is>
      </c>
      <c r="AB69" s="2" t="n"/>
      <c r="AC69" s="2" t="n"/>
      <c r="AD69" s="2" t="n"/>
      <c r="AE69" s="3" t="n"/>
      <c r="AF69" s="3" t="n"/>
      <c r="AG69" s="3" t="n"/>
      <c r="AH69" s="3" t="n"/>
      <c r="AI69" s="2" t="inlineStr"/>
    </row>
    <row r="70">
      <c r="A70" s="2" t="inlineStr">
        <is>
          <t>COS-710.3-Q1</t>
        </is>
      </c>
      <c r="B70" s="2" t="inlineStr">
        <is>
          <t>How does § 710.3 say to register a cosmetic establishment?</t>
        </is>
      </c>
      <c r="C70" s="2" t="inlineStr">
        <is>
          <t>§ 710.3: use Form FD-2511, 'Registration of Cosmetic Product Establishment,' obtainable from FDA, 5001 Campus Dr., College Park, MD 20740, or any FDA district office, and mail the completed form to Cosmetic Product Establishment Registration at that address. This is the voluntary program; FDA stopped accepting its submissions in March 2023.</t>
        </is>
      </c>
      <c r="D70" s="2" t="inlineStr">
        <is>
          <t>To register a cosmetic establishment, an entity must obtain Form FD-2511 (“Registration of Cosmetic Product Establishment”) from the Food and Drug Administration at 5001 Campus Dr., College Park, MD 20740, or from any FDA district office, and then mail the completed form to Cosmetic Product Establishment Registration, Food and Drug Administration, 5001 Campus Dr., College Park, MD 20740 [1].
Form FD-2511 is the required form for registering a cosmetic establishment [1].</t>
        </is>
      </c>
      <c r="E70" s="2" t="inlineStr">
        <is>
          <t>PARTIALLY FAIL</t>
        </is>
      </c>
      <c r="F70" s="2" t="inlineStr">
        <is>
          <t>Accurately describes 710.3: Form FD-2511, where to obtain it and where to mail it. It omits the key element that this is a voluntary program FDA stopped accepting in March 2023, and calls FD-2511 'the required form', which could mislead a user into treating it as a current, mandatory registration route.</t>
        </is>
      </c>
      <c r="G70" s="3" t="n">
        <v>8.300000000000001</v>
      </c>
      <c r="H70" s="4" t="n">
        <v>851</v>
      </c>
      <c r="I70" s="4" t="n">
        <v>115</v>
      </c>
      <c r="J70" s="2" t="inlineStr">
        <is>
          <t>mlx-community/Qwen3-4B-Instruct-2507-4bit (rev 50d42775)</t>
        </is>
      </c>
      <c r="K70" s="2" t="inlineStr">
        <is>
          <t>BAAI/bge-small-en-v1.5 (dense section candidates for promotion)</t>
        </is>
      </c>
      <c r="L70" s="2" t="inlineStr">
        <is>
          <t>SUCCESS</t>
        </is>
      </c>
      <c r="M70" s="2" t="inlineStr"/>
      <c r="N70" s="2" t="inlineStr">
        <is>
          <t>Expected CFR section(s) 710.3: all in evidence; cited in answer: 710.3. Evidence (1): 21 CFR 710.3 [exact]. Query type None; semantic fallback not invoked.</t>
        </is>
      </c>
      <c r="O70" s="2" t="n">
        <v>69</v>
      </c>
      <c r="P70" s="2" t="inlineStr">
        <is>
          <t>710</t>
        </is>
      </c>
      <c r="Q70" s="2" t="inlineStr">
        <is>
          <t>How to Comply</t>
        </is>
      </c>
      <c r="R70" s="2" t="inlineStr">
        <is>
          <t>Basic</t>
        </is>
      </c>
      <c r="S70" s="2" t="inlineStr">
        <is>
          <t>21 CFR 710.3</t>
        </is>
      </c>
      <c r="T70" s="2" t="n">
        <v>1</v>
      </c>
      <c r="U70" s="2" t="n">
        <v>0</v>
      </c>
      <c r="V70" s="2" t="n">
        <v>1</v>
      </c>
      <c r="W70" s="2" t="n">
        <v>1</v>
      </c>
      <c r="X70" s="2" t="n">
        <v>1</v>
      </c>
      <c r="Y70" s="2" t="inlineStr">
        <is>
          <t>Generated answer</t>
        </is>
      </c>
      <c r="Z70" s="2" t="inlineStr">
        <is>
          <t>initial True -&gt; final True</t>
        </is>
      </c>
      <c r="AA70" s="2" t="inlineStr">
        <is>
          <t>[1] = 21 CFR 710.3</t>
        </is>
      </c>
      <c r="AB70" s="2" t="n"/>
      <c r="AC70" s="2" t="n"/>
      <c r="AD70" s="2" t="n"/>
      <c r="AE70" s="3" t="n"/>
      <c r="AF70" s="3" t="n"/>
      <c r="AG70" s="3" t="n"/>
      <c r="AH70" s="3" t="n"/>
      <c r="AI70" s="2" t="inlineStr"/>
    </row>
    <row r="71">
      <c r="A71" s="2" t="inlineStr">
        <is>
          <t>COS-710.7-Q1</t>
        </is>
      </c>
      <c r="B71" s="2" t="inlineStr">
        <is>
          <t>We filed Form FD-2511 to register our lotion plant under Part 710. Can a competitor see the registration form we filed?</t>
        </is>
      </c>
      <c r="C71" s="2" t="inlineStr">
        <is>
          <t>Yes. Under 21 CFR 710.7, a copy of the Form FD-2511 filed by the registrant will be available for inspection at the Food and Drug Administration, 5001 Campus Dr., College Park, MD 20740. The section contains no confidentiality carve-out for the registration form.</t>
        </is>
      </c>
      <c r="D71" s="2" t="inlineStr">
        <is>
          <t>Yes, a competitor can see the copy of the Form FD-2511 filed by the registrant, as a copy of the form is available for inspection at the FDA office located at 5001 Campus Dr., College Park, MD 20740 [1].
21 CFR 710.7 mandates that a copy of the Form FD-2511 filed by the registrant will be available for inspection at the Food and Drug Administration, 5001 Campus Dr., College Park, MD 20740 [1].</t>
        </is>
      </c>
      <c r="E71" s="2" t="inlineStr">
        <is>
          <t>PASS</t>
        </is>
      </c>
      <c r="F71" s="2" t="inlineStr">
        <is>
          <t>Correct 'Yes'. It cites 710.7 and correctly states that a copy of the filed FD-2511 is available for inspection at FDA, 5001 Campus Dr., College Park, MD, matching the key.</t>
        </is>
      </c>
      <c r="G71" s="3" t="n">
        <v>10.9</v>
      </c>
      <c r="H71" s="4" t="n">
        <v>831</v>
      </c>
      <c r="I71" s="4" t="n">
        <v>121</v>
      </c>
      <c r="J71" s="2" t="inlineStr">
        <is>
          <t>mlx-community/Qwen3-4B-Instruct-2507-4bit (rev 50d42775)</t>
        </is>
      </c>
      <c r="K71" s="2" t="inlineStr">
        <is>
          <t>BAAI/bge-small-en-v1.5 (dense section candidates for promotion)</t>
        </is>
      </c>
      <c r="L71" s="2" t="inlineStr">
        <is>
          <t>SUCCESS</t>
        </is>
      </c>
      <c r="M71" s="2" t="inlineStr"/>
      <c r="N71" s="2" t="inlineStr">
        <is>
          <t>Expected CFR section(s) 710.7: all in evidence; cited in answer: 710.7. Evidence (1): 21 CFR 710.7 [exact]. Query type None; semantic fallback not invoked.</t>
        </is>
      </c>
      <c r="O71" s="2" t="n">
        <v>70</v>
      </c>
      <c r="P71" s="2" t="inlineStr">
        <is>
          <t>710</t>
        </is>
      </c>
      <c r="Q71" s="2" t="inlineStr">
        <is>
          <t>Applicability</t>
        </is>
      </c>
      <c r="R71" s="2" t="inlineStr">
        <is>
          <t>Basic</t>
        </is>
      </c>
      <c r="S71" s="2" t="inlineStr">
        <is>
          <t>21 CFR 710.7</t>
        </is>
      </c>
      <c r="T71" s="2" t="n">
        <v>1</v>
      </c>
      <c r="U71" s="2" t="n">
        <v>0</v>
      </c>
      <c r="V71" s="2" t="n">
        <v>2</v>
      </c>
      <c r="W71" s="2" t="n">
        <v>2</v>
      </c>
      <c r="X71" s="2" t="n">
        <v>1</v>
      </c>
      <c r="Y71" s="2" t="inlineStr">
        <is>
          <t>Generated answer</t>
        </is>
      </c>
      <c r="Z71" s="2" t="inlineStr">
        <is>
          <t>initial True -&gt; final True</t>
        </is>
      </c>
      <c r="AA71" s="2" t="inlineStr">
        <is>
          <t>[1] = 21 CFR 710.7</t>
        </is>
      </c>
      <c r="AB71" s="2" t="n"/>
      <c r="AC71" s="2" t="n"/>
      <c r="AD71" s="2" t="n"/>
      <c r="AE71" s="3" t="n"/>
      <c r="AF71" s="3" t="n"/>
      <c r="AG71" s="3" t="n"/>
      <c r="AH71" s="3" t="n"/>
      <c r="AI71" s="2" t="inlineStr"/>
    </row>
    <row r="72">
      <c r="A72" s="2" t="inlineStr">
        <is>
          <t>COS-710.8-Q1</t>
        </is>
      </c>
      <c r="B72" s="2" t="inlineStr">
        <is>
          <t>Marketing wants to print 'FDA Registered Facility, Reg. No. ____' on our face-cream carton. We did register under Part 710. Can we say that?</t>
        </is>
      </c>
      <c r="C72" s="2" t="inlineStr">
        <is>
          <t>710.8: registration of a cosmetic product establishment or assignment of a registration number does not in any way denote FDA approval of the firm or its products. Any representation in labeling or advertising that creates an impression of official approval because of registration or possession of a registration number will be considered misleading. A claim that creates that impression is the problem.</t>
        </is>
      </c>
      <c r="D72" s="2" t="inlineStr">
        <is>
          <t>No, marketing cannot print "FDA Registered Facility, Reg. No. ____" on the face-cream carton based solely on registration under Part 710. The regulation does not authorize or require such labeling. While a permanent registration number is assigned to a cosmetic product establishment upon registration [1], the text provides no authorization for the use of the phrase "FDA Registered Facility, Reg. No. ____" on packaging. The provision only states that the Commissioner will provide a validated copy of Form FD-2511 as evidence of registration, and this document is sent to the location shown for the registering establishment [1]. There is no requirement or authorization in 21 CFR 710.6 for such labeling on product cartons.
The available regulatory sources do not provide enough information to answer whether such a statement complies with FDA labeling requirements beyond what is specified in 21 CFR 710.6.</t>
        </is>
      </c>
      <c r="E72" s="2" t="inlineStr">
        <is>
          <t>PARTIALLY FAIL</t>
        </is>
      </c>
      <c r="F72" s="2" t="inlineStr">
        <is>
          <t>Reaches 'No' on the wrong basis: that 710.6 does not authorize the statement. It never surfaces 710.8, under which registration or a registration number does not denote FDA approval and any representation creating that impression is misleading.</t>
        </is>
      </c>
      <c r="G72" s="3" t="n">
        <v>11.8</v>
      </c>
      <c r="H72" s="4" t="n">
        <v>864</v>
      </c>
      <c r="I72" s="4" t="n">
        <v>190</v>
      </c>
      <c r="J72" s="2" t="inlineStr">
        <is>
          <t>mlx-community/Qwen3-4B-Instruct-2507-4bit (rev 50d42775)</t>
        </is>
      </c>
      <c r="K72" s="2" t="inlineStr">
        <is>
          <t>BAAI/bge-small-en-v1.5 (dense section candidates for promotion)</t>
        </is>
      </c>
      <c r="L72" s="2" t="inlineStr">
        <is>
          <t>SUCCESS</t>
        </is>
      </c>
      <c r="M72" s="2" t="inlineStr"/>
      <c r="N72" s="2" t="inlineStr">
        <is>
          <t>Expected CFR section(s) 710.8: none in evidence; none cited in answer. Evidence (1): 21 CFR 710.6 [exact]. Query type None; semantic fallback not invoked.</t>
        </is>
      </c>
      <c r="O72" s="2" t="n">
        <v>71</v>
      </c>
      <c r="P72" s="2" t="inlineStr">
        <is>
          <t>710</t>
        </is>
      </c>
      <c r="Q72" s="2" t="inlineStr">
        <is>
          <t>Specific Requirement</t>
        </is>
      </c>
      <c r="R72" s="2" t="inlineStr">
        <is>
          <t>Basic</t>
        </is>
      </c>
      <c r="S72" s="2" t="inlineStr">
        <is>
          <t>21 CFR 710.8</t>
        </is>
      </c>
      <c r="T72" s="2" t="n">
        <v>0</v>
      </c>
      <c r="U72" s="2" t="n">
        <v>0</v>
      </c>
      <c r="V72" s="2" t="n">
        <v>1</v>
      </c>
      <c r="W72" s="2" t="n">
        <v>0</v>
      </c>
      <c r="X72" s="2" t="n">
        <v>1</v>
      </c>
      <c r="Y72" s="2" t="inlineStr">
        <is>
          <t>Generated answer</t>
        </is>
      </c>
      <c r="Z72" s="2" t="inlineStr">
        <is>
          <t>initial True -&gt; final True</t>
        </is>
      </c>
      <c r="AA72" s="2" t="inlineStr">
        <is>
          <t>[1] = 21 CFR 710.6</t>
        </is>
      </c>
      <c r="AB72" s="2" t="n"/>
      <c r="AC72" s="2" t="n"/>
      <c r="AD72" s="2" t="n"/>
      <c r="AE72" s="3" t="n"/>
      <c r="AF72" s="3" t="n"/>
      <c r="AG72" s="3" t="n"/>
      <c r="AH72" s="3" t="n"/>
      <c r="AI72" s="2" t="inlineStr"/>
    </row>
    <row r="73">
      <c r="A73" s="2" t="inlineStr">
        <is>
          <t>COS-710.9-Q1</t>
        </is>
      </c>
      <c r="B73" s="2" t="inlineStr">
        <is>
          <t>We run a day spa that blends custom scrubs in our back room and sells them only at our front desk. Do we need to register the spa under Part 710?</t>
        </is>
      </c>
      <c r="C73" s="2" t="inlineStr">
        <is>
          <t>Under 710.9(a), beauty shops, cosmetologists, retailers, pharmacies and other persons and organizations that compound cosmetic products at a single location and administer, dispense or distribute them at retail from that location, and do not otherwise manufacture or package cosmetic products there, are not requested to register, because the Commissioner found registration not justified (710.9 intro). If you manufacture or package beyond that, the exemption does not fit.</t>
        </is>
      </c>
      <c r="D73" s="2" t="inlineStr">
        <is>
          <t>The generated answer could not be validated against the retrieved regulatory evidence. The verified text of the requested provision(s) follows.
21 CFR 700.3(b) (eCFR, binding, verbatim): (b) The term cosmetic product means a finished cosmetic the manufacture of which has been completed. Any cosmetic product which is also a drug or device or component thereof is also subject to the requirements of Chapter V of the act [5].
21 CFR 710.9(a) (eCFR, binding, verbatim): (a) Beauty shops, cosmetologists, retailers, pharmacies, and other persons and organizations that compound cosmetic products at a single location and administer, dispense, or distribute them at retail from that location and who do not otherwise manufacture or package cosmetic products at that location [2].
21 CFR 710.9(b) (eCFR, binding, verbatim): (b) Physicians, hospitals, clinics, and public health agencies [3].
21 CFR 710.9(c) (eCFR, binding, verbatim): (c) Persons who manufacture, prepare, compound, or process cosmetic products solely for use in research, pilot plant production, teaching, or chemical analysis, and who do not sell these products [4].</t>
        </is>
      </c>
      <c r="E73" s="2" t="inlineStr">
        <is>
          <t>FAIL</t>
        </is>
      </c>
      <c r="F73" s="2" t="inlineStr">
        <is>
          <t>The answer was withheld and replaced with verbatim quotes of 710.9(a)-(c) and 700.3(b), all cited correctly. It never says the spa is not requested to register, and it omits the 710.9 introductory text that gives (a) its effect, so the question goes unanswered.</t>
        </is>
      </c>
      <c r="G73" s="3" t="n">
        <v>37.1</v>
      </c>
      <c r="H73" s="4" t="n">
        <v>1245</v>
      </c>
      <c r="I73" s="4" t="n">
        <v>338</v>
      </c>
      <c r="J73" s="2" t="inlineStr">
        <is>
          <t>mlx-community/Qwen3-4B-Instruct-2507-4bit (rev 50d42775)</t>
        </is>
      </c>
      <c r="K73" s="2" t="inlineStr">
        <is>
          <t>BAAI/bge-small-en-v1.5 (dense section candidates for promotion)</t>
        </is>
      </c>
      <c r="L73" s="2" t="inlineStr">
        <is>
          <t>SUCCESS</t>
        </is>
      </c>
      <c r="M73" s="2" t="inlineStr"/>
      <c r="N73" s="2" t="inlineStr">
        <is>
          <t>Expected CFR section(s) 710.9: all in evidence; cited in answer: 710.9. Evidence (5): 21 CFR 710.9 [exact]; 21 CFR 710.9(a) [exact]; 21 CFR 710.9(b) [exact]; 21 CFR 710.9(c) [exact]; 21 CFR 700.3(b) [exact]. Query type None; semantic fallback not invoked.</t>
        </is>
      </c>
      <c r="O73" s="2" t="n">
        <v>72</v>
      </c>
      <c r="P73" s="2" t="inlineStr">
        <is>
          <t>710</t>
        </is>
      </c>
      <c r="Q73" s="2" t="inlineStr">
        <is>
          <t>Exemption</t>
        </is>
      </c>
      <c r="R73" s="2" t="inlineStr">
        <is>
          <t>Intermediate</t>
        </is>
      </c>
      <c r="S73" s="2" t="inlineStr">
        <is>
          <t>21 CFR 710.9 introductory text, (a)</t>
        </is>
      </c>
      <c r="T73" s="2" t="n">
        <v>1</v>
      </c>
      <c r="U73" s="2" t="n">
        <v>0</v>
      </c>
      <c r="V73" s="2" t="n">
        <v>0</v>
      </c>
      <c r="W73" s="2" t="n">
        <v>0</v>
      </c>
      <c r="X73" s="2" t="n">
        <v>1</v>
      </c>
      <c r="Y73" s="2" t="inlineStr">
        <is>
          <t>Generated answer</t>
        </is>
      </c>
      <c r="Z73" s="2" t="inlineStr">
        <is>
          <t>initial False [invented_condition, unsupported_claim] -&gt; final True; repair applied</t>
        </is>
      </c>
      <c r="AA73" s="2" t="inlineStr">
        <is>
          <t>[5] = 21 CFR 700.3(b); [2] = 21 CFR 710.9(a); [3] = 21 CFR 710.9(b); [4] = 21 CFR 710.9(c)</t>
        </is>
      </c>
      <c r="AB73" s="2" t="n"/>
      <c r="AC73" s="2" t="n"/>
      <c r="AD73" s="2" t="n"/>
      <c r="AE73" s="3" t="n"/>
      <c r="AF73" s="3" t="n"/>
      <c r="AG73" s="3" t="n"/>
      <c r="AH73" s="3" t="n"/>
      <c r="AI73" s="2" t="inlineStr"/>
    </row>
    <row r="74">
      <c r="A74" s="2" t="inlineStr">
        <is>
          <t>COS-720.1-Q1</t>
        </is>
      </c>
      <c r="B74" s="2" t="inlineStr">
        <is>
          <t>We're a private-label brand: a contract manufacturer makes our body wash and we're the distributor on the label. Who is supposed to file the Cosmetic Product Ingredient Statement under Part 720?</t>
        </is>
      </c>
      <c r="C74" s="2" t="inlineStr">
        <is>
          <t>720.1: either the manufacturer, packer or distributor of a cosmetic product is requested to file Form FDA 2512 ('Cosmetic Product Ingredient Statement'), whether or not the product enters interstate commerce. The request extends to foreign manufacturers, packers or distributors of products exported for sale in any State. No filing fee is required.</t>
        </is>
      </c>
      <c r="D74" s="2" t="inlineStr">
        <is>
          <t>The private-label brand, acting as a distributor of a body wash manufactured by a contract manufacturer, is required to file the Cosmetic Product Ingredient Statement (Form FDA 2512) if they are the distributor of the finished cosmetic product. According to 21 CFR 700.3(b), a "cosmetic product" means a finished cosmetic whose manufacture has been completed. The requirement in 21 CFR 720.1 applies to any manufacturer, packer, or distributor of a cosmetic product, regardless of whether the product enters interstate commerce. Therefore, as the distributor of the body wash, the private-label brand is responsible for filing Form FDA 2512 [1].
21 CFR 700.3(b) defines "cosmetic product" as a finished cosmetic whose manufacture has been completed; this definition confirms that the body wash, having undergone completion of its manufacturing process, qualifies as a cosmetic product under the regulation [2].  
21 CFR  720.1 requires either the manufacturer, packer, or distributor to file Form FDA 2512 for any finished cosmetic product, including those exported for sale in the United States [1].</t>
        </is>
      </c>
      <c r="E74" s="2" t="inlineStr">
        <is>
          <t>PARTIALLY FAIL</t>
        </is>
      </c>
      <c r="F74" s="2" t="inlineStr">
        <is>
          <t>720.1 and 700.3(b) are cited correctly, but the answer turns 720.1's voluntary request into a mandatory duty ('is required to file', 'is responsible for filing') and suggests the distributor is the one obligated, when the key says any of manufacturer, packer or distributor may file. It also leaves out that no filing fee is required.</t>
        </is>
      </c>
      <c r="G74" s="3" t="n">
        <v>15.6</v>
      </c>
      <c r="H74" s="4" t="n">
        <v>1035</v>
      </c>
      <c r="I74" s="4" t="n">
        <v>246</v>
      </c>
      <c r="J74" s="2" t="inlineStr">
        <is>
          <t>mlx-community/Qwen3-4B-Instruct-2507-4bit (rev 50d42775)</t>
        </is>
      </c>
      <c r="K74" s="2" t="inlineStr">
        <is>
          <t>BAAI/bge-small-en-v1.5 (dense section candidates for promotion)</t>
        </is>
      </c>
      <c r="L74" s="2" t="inlineStr">
        <is>
          <t>SUCCESS</t>
        </is>
      </c>
      <c r="M74" s="2" t="inlineStr"/>
      <c r="N74" s="2" t="inlineStr">
        <is>
          <t>Expected CFR section(s) 720.1: all in evidence; cited in answer: 720.1. Evidence (2): 21 CFR 720.1 [exact]; 21 CFR 700.3(b) [exact]. Query type None; semantic fallback not invoked.</t>
        </is>
      </c>
      <c r="O74" s="2" t="n">
        <v>73</v>
      </c>
      <c r="P74" s="2" t="inlineStr">
        <is>
          <t>720</t>
        </is>
      </c>
      <c r="Q74" s="2" t="inlineStr">
        <is>
          <t>Applicability</t>
        </is>
      </c>
      <c r="R74" s="2" t="inlineStr">
        <is>
          <t>Basic</t>
        </is>
      </c>
      <c r="S74" s="2" t="inlineStr">
        <is>
          <t>21 CFR 720.1</t>
        </is>
      </c>
      <c r="T74" s="2" t="n">
        <v>1</v>
      </c>
      <c r="U74" s="2" t="n">
        <v>0</v>
      </c>
      <c r="V74" s="2" t="n">
        <v>1</v>
      </c>
      <c r="W74" s="2" t="n">
        <v>1</v>
      </c>
      <c r="X74" s="2" t="n">
        <v>1</v>
      </c>
      <c r="Y74" s="2" t="inlineStr">
        <is>
          <t>Generated answer</t>
        </is>
      </c>
      <c r="Z74" s="2" t="inlineStr">
        <is>
          <t>initial True -&gt; final True</t>
        </is>
      </c>
      <c r="AA74" s="2" t="inlineStr">
        <is>
          <t>[1] = 21 CFR 720.1; [2] = 21 CFR 700.3(b)</t>
        </is>
      </c>
      <c r="AB74" s="2" t="n"/>
      <c r="AC74" s="2" t="n"/>
      <c r="AD74" s="2" t="n"/>
      <c r="AE74" s="3" t="n"/>
      <c r="AF74" s="3" t="n"/>
      <c r="AG74" s="3" t="n"/>
      <c r="AH74" s="3" t="n"/>
      <c r="AI74" s="2" t="inlineStr"/>
    </row>
    <row r="75">
      <c r="A75" s="2" t="inlineStr">
        <is>
          <t>COS-720.2-Q1</t>
        </is>
      </c>
      <c r="B75" s="2" t="inlineStr">
        <is>
          <t>We launch a new tinted lip balm next month. If we choose to file a Cosmetic Product Ingredient Statement, by when should it be filed?</t>
        </is>
      </c>
      <c r="C75" s="2" t="inlineStr">
        <is>
          <t>Under 720.2, Form FDA 2512 should be filed within 60 days after the beginning of commercial distribution of any product not covered within the initial 180-day period. The 180-day window applied to products being commercially distributed as of the effective date of Part 720, counted from when forms were made available to industry.</t>
        </is>
      </c>
      <c r="D75" s="2" t="inlineStr">
        <is>
          <t>The available regulatory sources do not provide enough information to answer when a Cosmetic Product Ingredient Statement should be filed for a new tinted lip balm.  
21 CFR 700.3(b) [2] defines "cosmetic product" as a finished cosmetic whose manufacture has been completed and does not specify any filing deadline or requirement for submitting a Cosmetic Product Ingredient Statement.  
21 CFR 720.9 [1] states that the filing of Form FDA 2512 or assignment of a number to the statement does not denote approval by the FDA and that any representation implying official approval due to such filing is misleading; it provides no information on when the statement must be filed.</t>
        </is>
      </c>
      <c r="E75" s="2" t="inlineStr">
        <is>
          <t>FAIL</t>
        </is>
      </c>
      <c r="F75" s="2" t="inlineStr">
        <is>
          <t>Declines to answer and never surfaces 720.2. The key element (file within 60 days after commercial distribution begins) is missing.</t>
        </is>
      </c>
      <c r="G75" s="3" t="n">
        <v>22.4</v>
      </c>
      <c r="H75" s="4" t="n">
        <v>1003</v>
      </c>
      <c r="I75" s="4" t="n">
        <v>143</v>
      </c>
      <c r="J75" s="2" t="inlineStr">
        <is>
          <t>mlx-community/Qwen3-4B-Instruct-2507-4bit (rev 50d42775)</t>
        </is>
      </c>
      <c r="K75" s="2" t="inlineStr">
        <is>
          <t>BAAI/bge-small-en-v1.5 (dense section candidates for promotion)</t>
        </is>
      </c>
      <c r="L75" s="2" t="inlineStr">
        <is>
          <t>SUCCESS</t>
        </is>
      </c>
      <c r="M75" s="2" t="inlineStr"/>
      <c r="N75" s="2" t="inlineStr">
        <is>
          <t>Expected CFR section(s) 720.2: none in evidence; none cited in answer. Evidence (2): 21 CFR 720.9 [exact]; 21 CFR 700.3(b) [exact]. Query type None; semantic fallback not invoked.</t>
        </is>
      </c>
      <c r="O75" s="2" t="n">
        <v>74</v>
      </c>
      <c r="P75" s="2" t="inlineStr">
        <is>
          <t>720</t>
        </is>
      </c>
      <c r="Q75" s="2" t="inlineStr">
        <is>
          <t>Specific Requirement</t>
        </is>
      </c>
      <c r="R75" s="2" t="inlineStr">
        <is>
          <t>Basic</t>
        </is>
      </c>
      <c r="S75" s="2" t="inlineStr">
        <is>
          <t>21 CFR 720.2</t>
        </is>
      </c>
      <c r="T75" s="2" t="n">
        <v>0</v>
      </c>
      <c r="U75" s="2" t="n">
        <v>0</v>
      </c>
      <c r="V75" s="2" t="n">
        <v>0</v>
      </c>
      <c r="W75" s="2" t="n">
        <v>0</v>
      </c>
      <c r="X75" s="2" t="n">
        <v>1</v>
      </c>
      <c r="Y75" s="2" t="inlineStr">
        <is>
          <t>Generated answer</t>
        </is>
      </c>
      <c r="Z75" s="2" t="inlineStr">
        <is>
          <t>initial True -&gt; final True</t>
        </is>
      </c>
      <c r="AA75" s="2" t="inlineStr">
        <is>
          <t>[2] = 21 CFR 700.3(b); [1] = 21 CFR 720.9</t>
        </is>
      </c>
      <c r="AB75" s="2" t="n"/>
      <c r="AC75" s="2" t="n"/>
      <c r="AD75" s="2" t="n"/>
      <c r="AE75" s="3" t="n"/>
      <c r="AF75" s="3" t="n"/>
      <c r="AG75" s="3" t="n"/>
      <c r="AH75" s="3" t="n"/>
      <c r="AI75" s="2" t="inlineStr"/>
    </row>
    <row r="76">
      <c r="A76" s="2" t="inlineStr">
        <is>
          <t>COS-720.4-Q2</t>
        </is>
      </c>
      <c r="B76" s="2" t="inlineStr">
        <is>
          <t>Beyond completing the form, what does Part 720 say a company filing Form FDA 2512 should do?</t>
        </is>
      </c>
      <c r="C76" s="2" t="inlineStr">
        <is>
          <t>720.4(b): the filer should (1) provide the information requested in (a); (2) have the form signed by an authorized individual; (3) provide poison control centers with ingredient information and/or adequate diagnostic and therapeutic procedures for rapid evaluation and treatment of accidental ingestion or other accidental use; (4) provide ingredient information (and, when requested, samples) to a licensed physician treating a patient who asks whether an ingredient caused the problem.</t>
        </is>
      </c>
      <c r="D76" s="2" t="inlineStr">
        <is>
          <t>A company filing Form FDA 2512 should submit an amended Form FDA 2512 within 60 days after a cosmetic product is entered into commercial distribution if there are changes to the ingredients or brand name of the product. For other changes, the company must file an amended Form FDA 2512 within one year after such changes occur. Additionally, notice of discontinuance of commercial distribution should be submitted via Form FDA 2514 within 180 days after discontinuance is known. [1]
The provision requires that changes to the ingredients or brand name must be reported by filing an amended Form FDA 2512 within 60 days after the product enters commercial distribution. [1]  
Other changes, not specified as ingredient or brand name modifications, should also be reported by filing an amended Form FDA 2512 within one year of occurrence. [1]  
Notice of discontinuance must be submitted via Form FDA 2514 within 180 days after the discontinuance is known to the filer. [1]</t>
        </is>
      </c>
      <c r="E76" s="2" t="inlineStr">
        <is>
          <t>FAIL</t>
        </is>
      </c>
      <c r="F76" s="2" t="inlineStr">
        <is>
          <t>Answers with the 720.6 amendment and discontinuance timing instead of the question asked. None of the 720.4(b) elements appear: providing the (a) information, an authorized signature, ingredient information for poison control centers, and ingredient information or samples for treating physicians.</t>
        </is>
      </c>
      <c r="G76" s="3" t="n">
        <v>14.4</v>
      </c>
      <c r="H76" s="4" t="n">
        <v>926</v>
      </c>
      <c r="I76" s="4" t="n">
        <v>227</v>
      </c>
      <c r="J76" s="2" t="inlineStr">
        <is>
          <t>mlx-community/Qwen3-4B-Instruct-2507-4bit (rev 50d42775)</t>
        </is>
      </c>
      <c r="K76" s="2" t="inlineStr">
        <is>
          <t>BAAI/bge-small-en-v1.5 (dense section candidates for promotion)</t>
        </is>
      </c>
      <c r="L76" s="2" t="inlineStr">
        <is>
          <t>SUCCESS</t>
        </is>
      </c>
      <c r="M76" s="2" t="inlineStr"/>
      <c r="N76" s="2" t="inlineStr">
        <is>
          <t>Expected CFR section(s) 720.4: none in evidence; none cited in answer. Evidence (1): 21 CFR 720.6 [exact]. Query type None; semantic fallback not invoked.</t>
        </is>
      </c>
      <c r="O76" s="2" t="n">
        <v>75</v>
      </c>
      <c r="P76" s="2" t="inlineStr">
        <is>
          <t>720</t>
        </is>
      </c>
      <c r="Q76" s="2" t="inlineStr">
        <is>
          <t>How to Comply</t>
        </is>
      </c>
      <c r="R76" s="2" t="inlineStr">
        <is>
          <t>Intermediate</t>
        </is>
      </c>
      <c r="S76" s="2" t="inlineStr">
        <is>
          <t>21 CFR 720.4(b)(1)-(4)</t>
        </is>
      </c>
      <c r="T76" s="2" t="n">
        <v>0</v>
      </c>
      <c r="U76" s="2" t="n">
        <v>0</v>
      </c>
      <c r="V76" s="2" t="n">
        <v>0</v>
      </c>
      <c r="W76" s="2" t="n">
        <v>0</v>
      </c>
      <c r="X76" s="2" t="n">
        <v>1</v>
      </c>
      <c r="Y76" s="2" t="inlineStr">
        <is>
          <t>Generated answer</t>
        </is>
      </c>
      <c r="Z76" s="2" t="inlineStr">
        <is>
          <t>initial True -&gt; final True</t>
        </is>
      </c>
      <c r="AA76" s="2" t="inlineStr">
        <is>
          <t>[1] = 21 CFR 720.6</t>
        </is>
      </c>
      <c r="AB76" s="2" t="n"/>
      <c r="AC76" s="2" t="n"/>
      <c r="AD76" s="2" t="n"/>
      <c r="AE76" s="3" t="n"/>
      <c r="AF76" s="3" t="n"/>
      <c r="AG76" s="3" t="n"/>
      <c r="AH76" s="3" t="n"/>
      <c r="AI76" s="2" t="inlineStr"/>
    </row>
    <row r="77">
      <c r="A77" s="2" t="inlineStr">
        <is>
          <t>COS-720.6-Q1</t>
        </is>
      </c>
      <c r="B77" s="2" t="inlineStr">
        <is>
          <t>We reformulated our sunscreen-free tanning oil (swapped an emollient) and renamed it. Separately we moved our office. How soon should our filed Form 2512 be amended?</t>
        </is>
      </c>
      <c r="C77" s="2" t="inlineStr">
        <is>
          <t>720.6: changes in information under 720.4(a)(3) and (a)(5) (brand name or ingredients) should be submitted by amended Form FDA 2512 within 60 days after the product is entered into commercial distribution. Other changes, such as the address, do not justify immediate amendment but should be shown by an amended Form 2512 within a year after the changes.</t>
        </is>
      </c>
      <c r="D77" s="2" t="inlineStr">
        <is>
          <t>The filed Form 2512 should be amended within 60 days after the reformulated sunscreen-free tanning oil (with swapped emollient) is entered into commercial distribution, because changes to the ingredients or brand name of a cosmetic product require an amended Form FDA 2512 within 60 days of commercial distribution. The renaming of the product constitutes a change in brand name and thus triggers the 60-day amendment requirement. The move of the office does not affect the timing or necessity of the amendment, as it is unrelated to ingredient or brand name changes. No other action is required for the office move.
21 CFR 720.6 requires an amended Form FDA 2512 within 60 days after a cosmetic product's ingredients or brand name changes and it enters commercial distribution [1].  
The requirement applies specifically to changes in ingredient composition or brand name, such as swapping an emollient or renaming the product [1].</t>
        </is>
      </c>
      <c r="E77" s="2" t="inlineStr">
        <is>
          <t>PARTIALLY FAIL</t>
        </is>
      </c>
      <c r="F77" s="2" t="inlineStr">
        <is>
          <t>Correctly gives 60 days after commercial distribution for the ingredient and brand-name changes under 720.6. But it wrongly says the office move needs no action, when 720.6 says other changes such as the address should be shown on an amended Form 2512 within one year.</t>
        </is>
      </c>
      <c r="G77" s="3" t="n">
        <v>36.7</v>
      </c>
      <c r="H77" s="4" t="n">
        <v>1313</v>
      </c>
      <c r="I77" s="4" t="n">
        <v>199</v>
      </c>
      <c r="J77" s="2" t="inlineStr">
        <is>
          <t>mlx-community/Qwen3-4B-Instruct-2507-4bit (rev 50d42775)</t>
        </is>
      </c>
      <c r="K77" s="2" t="inlineStr">
        <is>
          <t>BAAI/bge-small-en-v1.5 (dense section candidates for promotion)</t>
        </is>
      </c>
      <c r="L77" s="2" t="inlineStr">
        <is>
          <t>SUCCESS</t>
        </is>
      </c>
      <c r="M77" s="2" t="inlineStr"/>
      <c r="N77" s="2" t="inlineStr">
        <is>
          <t>Expected CFR section(s) 720.6: all in evidence; cited in answer: 720.6. Evidence (1): 21 CFR 720.6 [exact]. Query type None; semantic fallback not invoked.</t>
        </is>
      </c>
      <c r="O77" s="2" t="n">
        <v>76</v>
      </c>
      <c r="P77" s="2" t="inlineStr">
        <is>
          <t>720</t>
        </is>
      </c>
      <c r="Q77" s="2" t="inlineStr">
        <is>
          <t>Specific Requirement</t>
        </is>
      </c>
      <c r="R77" s="2" t="inlineStr">
        <is>
          <t>Intermediate</t>
        </is>
      </c>
      <c r="S77" s="2" t="inlineStr">
        <is>
          <t>21 CFR 720.6</t>
        </is>
      </c>
      <c r="T77" s="2" t="n">
        <v>1</v>
      </c>
      <c r="U77" s="2" t="n">
        <v>0</v>
      </c>
      <c r="V77" s="2" t="n">
        <v>1</v>
      </c>
      <c r="W77" s="2" t="n">
        <v>1</v>
      </c>
      <c r="X77" s="2" t="n">
        <v>1</v>
      </c>
      <c r="Y77" s="2" t="inlineStr">
        <is>
          <t>Generated answer</t>
        </is>
      </c>
      <c r="Z77" s="2" t="inlineStr">
        <is>
          <t>initial True -&gt; final True</t>
        </is>
      </c>
      <c r="AA77" s="2" t="inlineStr">
        <is>
          <t>[1] = 21 CFR 720.6</t>
        </is>
      </c>
      <c r="AB77" s="2" t="n"/>
      <c r="AC77" s="2" t="n"/>
      <c r="AD77" s="2" t="n"/>
      <c r="AE77" s="3" t="n"/>
      <c r="AF77" s="3" t="n"/>
      <c r="AG77" s="3" t="n"/>
      <c r="AH77" s="3" t="n"/>
      <c r="AI77" s="2" t="inlineStr"/>
    </row>
    <row r="78">
      <c r="A78" s="2" t="inlineStr">
        <is>
          <t>COS-740.2-Q1</t>
        </is>
      </c>
      <c r="B78" s="2" t="inlineStr">
        <is>
          <t>Our designer set the aerosol hairspray warning in 5-point light-gray italic on a silver can. What does FDA require for how warnings look?</t>
        </is>
      </c>
      <c r="C78" s="2" t="inlineStr">
        <is>
          <t>740.2(a): the warning shall appear prominently and conspicuously compared to other words, statements, designs or devices, in bold type on contrasting background, to be likely read and understood by the ordinary individual under customary conditions of purchase and use; letters and/or numbers not less than 1/16 inch in height unless an exemption under (b) is established. Light, non-bold type on low contrast does not fit.</t>
        </is>
      </c>
      <c r="D78" s="2" t="inlineStr">
        <is>
          <t>The generated answer could not be validated against the retrieved regulatory evidence, so it is not shown. The retrieved sources were not verified to answer the question as asked, so their text is not quoted as an answer. Sources consulted: 21 CFR 740.2(a), 21 CFR 740.2(b).</t>
        </is>
      </c>
      <c r="E78" s="2" t="inlineStr">
        <is>
          <t>FAIL</t>
        </is>
      </c>
      <c r="F78" s="2" t="inlineStr">
        <is>
          <t>Withheld, so no substantive answer. The 740.2(a) prominence, bold-type, contrasting-background and 1/16-inch requirements are never stated.</t>
        </is>
      </c>
      <c r="G78" s="3" t="n">
        <v>42.3</v>
      </c>
      <c r="H78" s="4" t="n">
        <v>1051</v>
      </c>
      <c r="I78" s="4" t="n">
        <v>416</v>
      </c>
      <c r="J78" s="2" t="inlineStr">
        <is>
          <t>mlx-community/Qwen3-4B-Instruct-2507-4bit (rev 50d42775)</t>
        </is>
      </c>
      <c r="K78" s="2" t="inlineStr">
        <is>
          <t>BAAI/bge-small-en-v1.5 (dense section candidates for promotion)</t>
        </is>
      </c>
      <c r="L78" s="2" t="inlineStr">
        <is>
          <t>SUCCESS</t>
        </is>
      </c>
      <c r="M78" s="2" t="inlineStr"/>
      <c r="N78" s="2" t="inlineStr">
        <is>
          <t>Expected CFR section(s) 740.2: all in evidence; none cited in answer. Evidence (2): 21 CFR 740.2(a) [exact]; 21 CFR 740.2(b) [exact]. Query type None; semantic fallback not invoked.</t>
        </is>
      </c>
      <c r="O78" s="2" t="n">
        <v>77</v>
      </c>
      <c r="P78" s="2" t="inlineStr">
        <is>
          <t>740</t>
        </is>
      </c>
      <c r="Q78" s="2" t="inlineStr">
        <is>
          <t>Specific Requirement</t>
        </is>
      </c>
      <c r="R78" s="2" t="inlineStr">
        <is>
          <t>Basic</t>
        </is>
      </c>
      <c r="S78" s="2" t="inlineStr">
        <is>
          <t>21 CFR 740.2(a), (b)</t>
        </is>
      </c>
      <c r="T78" s="2" t="n">
        <v>0</v>
      </c>
      <c r="U78" s="2" t="n">
        <v>0</v>
      </c>
      <c r="V78" s="2" t="n">
        <v>0</v>
      </c>
      <c r="W78" s="2" t="n">
        <v>0</v>
      </c>
      <c r="X78" s="2" t="n">
        <v>1</v>
      </c>
      <c r="Y78" s="2" t="inlineStr">
        <is>
          <t>Withheld by validator (no answer shown)</t>
        </is>
      </c>
      <c r="Z78" s="2" t="inlineStr">
        <is>
          <t>initial False [condition_not_in_cited_source, truncated, unsupported_claim] -&gt; final False; repair applied; fallback unvalidated_answer_withheld; generation hit token allowance</t>
        </is>
      </c>
      <c r="AA78" s="2" t="inlineStr"/>
      <c r="AB78" s="2" t="n"/>
      <c r="AC78" s="2" t="n"/>
      <c r="AD78" s="2" t="n"/>
      <c r="AE78" s="3" t="n"/>
      <c r="AF78" s="3" t="n"/>
      <c r="AG78" s="3" t="n"/>
      <c r="AH78" s="3" t="n"/>
      <c r="AI78" s="2" t="inlineStr"/>
    </row>
    <row r="79">
      <c r="A79" s="2" t="inlineStr">
        <is>
          <t>COS-740.10-Q2</t>
        </is>
      </c>
      <c r="B79" s="2" t="inlineStr">
        <is>
          <t>A new study raises questions about an emollient we've used for 20 years, but it's not conclusive. Do we now have to add the 'safety not determined' warning?</t>
        </is>
      </c>
      <c r="C79" s="2" t="inlineStr">
        <is>
          <t>Not if all three 740.10(b) conditions are met: (1) safety was adequately substantiated before the new information developed; (2) the new information does not demonstrate a hazard to human health; and (3) adequate studies are being conducted to determine safety expeditiously. Under (c), this is not an exemption from the Act's adulteration provisions or any other requirement.</t>
        </is>
      </c>
      <c r="D79" s="2" t="inlineStr">
        <is>
          <t>A new study raises questions about an emollient used for 20 years, but it is not conclusive. The warning "The safety of this product has not been determined" is not required if: (1) the safety of the ingredient or product had been adequately substantiated prior to development of the new information; (2) the new information does not demonstrate a hazard to human health; and (3) adequate studies are being conducted to determine expeditiously the safety of the ingredient or product. The warning is required only if these conditions do not apply [3].  
The safety of this product has not been determined [2].  
An ingredient or product having a history of use in or as a cosmetic may at any time have its safety brought into question by new information that in itself is not conclusive, and the warning required by paragraph (a) of this section is not required if: (1) the safety had been adequately substantiated prior to development of the new information; (2) the new information does not demonstrate a hazard to human health; and (3) adequate studies are being conducted to determine expeditiously the safety of the ingredient or product [3].</t>
        </is>
      </c>
      <c r="E79" s="2" t="inlineStr">
        <is>
          <t>PARTIALLY PASS</t>
        </is>
      </c>
      <c r="F79" s="2" t="inlineStr">
        <is>
          <t>Correctly states all three conjunctive 740.10(b) conditions under which the warning is not required, with correct (a) and (b) citations. It omits 740.10(c): this is not an exemption from the Act's adulteration provisions or any other requirement.</t>
        </is>
      </c>
      <c r="G79" s="3" t="n">
        <v>44.8</v>
      </c>
      <c r="H79" s="4" t="n">
        <v>1924</v>
      </c>
      <c r="I79" s="4" t="n">
        <v>238</v>
      </c>
      <c r="J79" s="2" t="inlineStr">
        <is>
          <t>mlx-community/Qwen3-4B-Instruct-2507-4bit (rev 50d42775)</t>
        </is>
      </c>
      <c r="K79" s="2" t="inlineStr">
        <is>
          <t>BAAI/bge-small-en-v1.5 (dense section candidates for promotion)</t>
        </is>
      </c>
      <c r="L79" s="2" t="inlineStr">
        <is>
          <t>SUCCESS</t>
        </is>
      </c>
      <c r="M79" s="2" t="inlineStr"/>
      <c r="N79" s="2" t="inlineStr">
        <is>
          <t>Expected CFR section(s) 740.10: all in evidence; cited in answer: 740.10. Evidence (7): 21 CFR 740.10(a) [exact]; 21 CFR 740.10(a) [exact]; 21 CFR 740.10(b) [exact]; 21 CFR 740.10(b)(1) [exact]; 21 CFR 740.10(b)(2) [exact]; 21 CFR 740.10(b)(3) [exact]; 21 CFR 740.10(c) [exact]. Query type None; semantic fallback not invoked.</t>
        </is>
      </c>
      <c r="O79" s="2" t="n">
        <v>78</v>
      </c>
      <c r="P79" s="2" t="inlineStr">
        <is>
          <t>740</t>
        </is>
      </c>
      <c r="Q79" s="2" t="inlineStr">
        <is>
          <t>Exemption</t>
        </is>
      </c>
      <c r="R79" s="2" t="inlineStr">
        <is>
          <t>Advanced</t>
        </is>
      </c>
      <c r="S79" s="2" t="inlineStr">
        <is>
          <t>21 CFR 740.10(b)(1)-(3), (c)</t>
        </is>
      </c>
      <c r="T79" s="2" t="n">
        <v>1</v>
      </c>
      <c r="U79" s="2" t="n">
        <v>0</v>
      </c>
      <c r="V79" s="2" t="n">
        <v>2</v>
      </c>
      <c r="W79" s="2" t="n">
        <v>1</v>
      </c>
      <c r="X79" s="2" t="n">
        <v>1</v>
      </c>
      <c r="Y79" s="2" t="inlineStr">
        <is>
          <t>Generated answer</t>
        </is>
      </c>
      <c r="Z79" s="2" t="inlineStr">
        <is>
          <t>initial True -&gt; final True</t>
        </is>
      </c>
      <c r="AA79" s="2" t="inlineStr">
        <is>
          <t>[3] = 21 CFR 740.10(b); [2] = 21 CFR 740.10(a)</t>
        </is>
      </c>
      <c r="AB79" s="2" t="n"/>
      <c r="AC79" s="2" t="n"/>
      <c r="AD79" s="2" t="n"/>
      <c r="AE79" s="3" t="n"/>
      <c r="AF79" s="3" t="n"/>
      <c r="AG79" s="3" t="n"/>
      <c r="AH79" s="3" t="n"/>
      <c r="AI79" s="2" t="inlineStr"/>
    </row>
    <row r="80">
      <c r="A80" s="2" t="inlineStr">
        <is>
          <t>COS-740.17-Q1</t>
        </is>
      </c>
      <c r="B80" s="2" t="inlineStr">
        <is>
          <t>We're launching a kids' bubble bath with a foaming surfactant. What must the label say?</t>
        </is>
      </c>
      <c r="C80" s="2" t="inlineStr">
        <is>
          <t>Under 740.17(a)-(b), the label must bear adequate directions for safe use and: 'Caution—Use only as directed. Excessive use or prolonged exposure may cause irritation to skin and urinary tract. Discontinue use if rash, redness, or itching occurs. Consult your physician if irritation persists. Keep out of reach of children.' For children's products, (c) allows adding 'except under adult supervision' at the end.</t>
        </is>
      </c>
      <c r="D80" s="2" t="inlineStr">
        <is>
          <t>The label of a kids' bubble bath containing a foaming surfactant must include the caution: "Use only as directed. Excessive use or prolonged exposure may cause irritation to skin and urinary tract. Discontinue use if rash, redness, or itching occurs. Consult your physician if irritation persists. Keep out of reach of children." Additionally, for products intended for use by children, the phrase “except under adult supervision” may be added at the end of that caution. These requirements apply except for products labeled as intended for use exclusively by adults [2], and the addition of "except under adult supervision" is only permitted when the product is intended for use by children [4].
The label must bear adequate directions for safe use and the following caution:  
Caution—Use only as directed. Keep out of reach of children [3].  
For a kids' bubble bath intended for use by children, the phrase “except under adult supervision” may be added at the end of the caution required in paragraph (b) [4].</t>
        </is>
      </c>
      <c r="E80" s="2" t="inlineStr">
        <is>
          <t>PARTIALLY FAIL</t>
        </is>
      </c>
      <c r="F80" s="2" t="inlineStr">
        <is>
          <t>The first paragraph gives the full 740.17(b) caution and the optional 'except under adult supervision' wording from (c). The second paragraph then says this kids' product must bear a shortened caution ('Use only as directed. Keep out of reach of children'), which contradicts the first and misstates the required warning.</t>
        </is>
      </c>
      <c r="G80" s="3" t="n">
        <v>25.7</v>
      </c>
      <c r="H80" s="4" t="n">
        <v>1167</v>
      </c>
      <c r="I80" s="4" t="n">
        <v>245</v>
      </c>
      <c r="J80" s="2" t="inlineStr">
        <is>
          <t>mlx-community/Qwen3-4B-Instruct-2507-4bit (rev 50d42775)</t>
        </is>
      </c>
      <c r="K80" s="2" t="inlineStr">
        <is>
          <t>BAAI/bge-small-en-v1.5 (dense section candidates for promotion)</t>
        </is>
      </c>
      <c r="L80" s="2" t="inlineStr">
        <is>
          <t>SUCCESS</t>
        </is>
      </c>
      <c r="M80" s="2" t="inlineStr"/>
      <c r="N80" s="2" t="inlineStr">
        <is>
          <t>Expected CFR section(s) 740.17: all in evidence; cited in answer: 740.17. Evidence (4): 21 CFR 740.17(a) [exact]; 21 CFR 740.17(b) [exact]; 21 CFR 740.17(b) [exact]; 21 CFR 740.17(c) [exact]. Query type None; semantic fallback not invoked.</t>
        </is>
      </c>
      <c r="O80" s="2" t="n">
        <v>79</v>
      </c>
      <c r="P80" s="2" t="inlineStr">
        <is>
          <t>740</t>
        </is>
      </c>
      <c r="Q80" s="2" t="inlineStr">
        <is>
          <t>Specific Requirement</t>
        </is>
      </c>
      <c r="R80" s="2" t="inlineStr">
        <is>
          <t>Intermediate</t>
        </is>
      </c>
      <c r="S80" s="2" t="inlineStr">
        <is>
          <t>21 CFR 740.17(a)-(c)</t>
        </is>
      </c>
      <c r="T80" s="2" t="n">
        <v>1</v>
      </c>
      <c r="U80" s="2" t="n">
        <v>0</v>
      </c>
      <c r="V80" s="2" t="n">
        <v>1</v>
      </c>
      <c r="W80" s="2" t="n">
        <v>2</v>
      </c>
      <c r="X80" s="2" t="n">
        <v>1</v>
      </c>
      <c r="Y80" s="2" t="inlineStr">
        <is>
          <t>Generated answer</t>
        </is>
      </c>
      <c r="Z80" s="2" t="inlineStr">
        <is>
          <t>initial True -&gt; final True</t>
        </is>
      </c>
      <c r="AA80" s="2" t="inlineStr">
        <is>
          <t>[2] = 21 CFR 740.17(b); [4] = 21 CFR 740.17(c); [3] = 21 CFR 740.17(b)</t>
        </is>
      </c>
      <c r="AB80" s="2" t="n"/>
      <c r="AC80" s="2" t="n"/>
      <c r="AD80" s="2" t="n"/>
      <c r="AE80" s="3" t="n"/>
      <c r="AF80" s="3" t="n"/>
      <c r="AG80" s="3" t="n"/>
      <c r="AH80" s="3" t="n"/>
      <c r="AI80" s="2" t="inlineStr"/>
    </row>
    <row r="81">
      <c r="A81" s="2" t="inlineStr">
        <is>
          <t>COS-740.18-Q1</t>
        </is>
      </c>
      <c r="B81" s="2" t="inlineStr">
        <is>
          <t>An old formulation file for our permanent hair dye lists 2,4-diaminoanisole sulfate. What does the cancer warning rule for coal tar hair dyes say, and is it in effect?</t>
        </is>
      </c>
      <c r="C81" s="2" t="inlineStr">
        <is>
          <t>740.18(a) would require the PDP and accompanying labeling of a coal tar hair dye containing a (b) ingredient to bear, per 740.2: 'Warning—Contains an ingredient that can penetrate your skin and has been determined to cause cancer in laboratory animals.' (b) covers (1) 4-methoxy-m-phenylenediamine (2,4-diaminoanisole) and (2) its sulfate. However, per the eCFR note, 740.18 was stayed until further notice, effective Sept. 18, 1980 (47 FR 7829).</t>
        </is>
      </c>
      <c r="D81" s="2" t="inlineStr">
        <is>
          <t>The cancer warning rule for coal tar hair dyes applies if the product contains an ingredient listed in 21 CFR 740.18(b), which includes 2,4-diaminoanisole (4-methoxy-m-phenylenediamine) and its sulfate salt (2,4-diaminoanisole sulfate). Since the formulation contains 2,4-diaminoanisole sulfate, it falls under the scope of the rule. The warning must appear on the principal display panel in a conspicuous and readable format as required by §740.2(a), unless an exemption is established under §740.2(b) due to label size limitations.
21 CFR 740.18(a)[1]: The principal display panel of the label must bear the warning: "Warning—Contains an ingredient that can penetrate your skin and has been determined to cause cancer in laboratory animals."  
21 CFR 740.18(a)[2]: This is the specific text of the required cancer warning for coal tar hair dyes containing ingredients listed in paragraph (b).  
21 CFR 740.18(b)[3]: Hair dyes containing 4-methoxy-m-phenylenediamine (2,4-diaminoanisole) or its sulfate salt (2,4-diaminoanisole sulfate) must comply with the requirements of this section; thus, the product in question is subject to the warning requirement.  
21 CFR 740.2(a)[4]: The warning statement shall appear prominently and conspicuously on the label, in bold type on a contrasting background, with letters and numbers not less than 1/16 inch in height, unless an exemption under paragraph (b) is established.  
21 CFR 740.2(b)[5]: If the label is too small to accommodate the warning, the Commissioner may establish an acceptable alternative method, such as smaller type size, by regulation; however, this requires a petition submitted to the Dockets Management Staff for approval.</t>
        </is>
      </c>
      <c r="E81" s="2" t="inlineStr">
        <is>
          <t>FAIL</t>
        </is>
      </c>
      <c r="F81" s="2" t="inlineStr">
        <is>
          <t>Correctly quotes the 740.18(a) warning text and the (b) ingredients, including the sulfate. But it never says the section was stayed until further notice effective Sept. 18, 1980 (47 FR 7829), and it states the product 'is subject to the warning requirement'. That answers the 'is it in effect' question wrongly.</t>
        </is>
      </c>
      <c r="G81" s="3" t="n">
        <v>34.3</v>
      </c>
      <c r="H81" s="4" t="n">
        <v>1460</v>
      </c>
      <c r="I81" s="4" t="n">
        <v>435</v>
      </c>
      <c r="J81" s="2" t="inlineStr">
        <is>
          <t>mlx-community/Qwen3-4B-Instruct-2507-4bit (rev 50d42775)</t>
        </is>
      </c>
      <c r="K81" s="2" t="inlineStr">
        <is>
          <t>BAAI/bge-small-en-v1.5 (dense section candidates for promotion)</t>
        </is>
      </c>
      <c r="L81" s="2" t="inlineStr">
        <is>
          <t>SUCCESS</t>
        </is>
      </c>
      <c r="M81" s="2" t="inlineStr"/>
      <c r="N81" s="2" t="inlineStr">
        <is>
          <t>Expected CFR section(s) 740.18: all in evidence; cited in answer: 740.18. Evidence (5): 21 CFR 740.18(a) [exact]; 21 CFR 740.18(a) [exact]; 21 CFR 740.18(b) [exact]; 21 CFR 740.2(a) [exact]; 21 CFR 740.2(b) [exact]. Query type None; semantic fallback not invoked.</t>
        </is>
      </c>
      <c r="O81" s="2" t="n">
        <v>80</v>
      </c>
      <c r="P81" s="2" t="inlineStr">
        <is>
          <t>740</t>
        </is>
      </c>
      <c r="Q81" s="2" t="inlineStr">
        <is>
          <t>Applicability</t>
        </is>
      </c>
      <c r="R81" s="2" t="inlineStr">
        <is>
          <t>Advanced</t>
        </is>
      </c>
      <c r="S81" s="2" t="inlineStr">
        <is>
          <t>21 CFR 740.18(a), (b)(1)-(2); effective date note</t>
        </is>
      </c>
      <c r="T81" s="2" t="n">
        <v>1</v>
      </c>
      <c r="U81" s="2" t="n">
        <v>0</v>
      </c>
      <c r="V81" s="2" t="n">
        <v>0</v>
      </c>
      <c r="W81" s="2" t="n">
        <v>1</v>
      </c>
      <c r="X81" s="2" t="n">
        <v>1</v>
      </c>
      <c r="Y81" s="2" t="inlineStr">
        <is>
          <t>Generated answer</t>
        </is>
      </c>
      <c r="Z81" s="2" t="inlineStr">
        <is>
          <t>initial True -&gt; final True</t>
        </is>
      </c>
      <c r="AA81" s="2" t="inlineStr">
        <is>
          <t>[1] = 21 CFR 740.18(a); [2] = 21 CFR 740.18(a); [3] = 21 CFR 740.18(b); [4] = 21 CFR 740.2(a); [5] = 21 CFR 740.2(b)</t>
        </is>
      </c>
      <c r="AB81" s="2" t="n"/>
      <c r="AC81" s="2" t="n"/>
      <c r="AD81" s="2" t="n"/>
      <c r="AE81" s="3" t="n"/>
      <c r="AF81" s="3" t="n"/>
      <c r="AG81" s="3" t="n"/>
      <c r="AH81" s="3" t="n"/>
      <c r="AI81" s="2" t="inlineStr"/>
    </row>
    <row r="82">
      <c r="A82" s="2" t="inlineStr">
        <is>
          <t>COS-FDCA601-Q1</t>
        </is>
      </c>
      <c r="B82" s="2" t="inlineStr">
        <is>
          <t>We sell a coal-tar hair dye. What must our label and labeling carry to rely on the hair-dye exception from the poisonous-substance adulteration provision?</t>
        </is>
      </c>
      <c r="C82" s="2" t="inlineStr">
        <is>
          <t>601(a) does not apply to coal-tar hair dye whose label conspicuously displays the statutory caution (may cause skin irritation on certain individuals; a preliminary test according to accompanying directions should first be made; must not be used for dyeing eyelashes or eyebrows, which may cause blindness) and whose labeling bears adequate directions for such preliminary testing.</t>
        </is>
      </c>
      <c r="D82" s="2" t="inlineStr">
        <is>
          <t>The generated answer could not be validated against the retrieved regulatory evidence, so it is not shown. The retrieved sources were not verified to answer the question as asked, so their text is not quoted as an answer. Sources consulted: 21 CFR 740.18(a), 21 CFR 740.18(b), 21 CFR 740.2(a), 21 CFR 740.2(b).</t>
        </is>
      </c>
      <c r="E82" s="2" t="inlineStr">
        <is>
          <t>FAIL</t>
        </is>
      </c>
      <c r="F82" s="2" t="inlineStr">
        <is>
          <t>Withheld, and FD&amp;C Act 601(a) is never surfaced. The hair-dye caution text and the preliminary-test directions are missing.</t>
        </is>
      </c>
      <c r="G82" s="3" t="n">
        <v>57</v>
      </c>
      <c r="H82" s="4" t="n">
        <v>1452</v>
      </c>
      <c r="I82" s="4" t="n">
        <v>444</v>
      </c>
      <c r="J82" s="2" t="inlineStr">
        <is>
          <t>mlx-community/Qwen3-4B-Instruct-2507-4bit (rev 50d42775)</t>
        </is>
      </c>
      <c r="K82" s="2" t="inlineStr">
        <is>
          <t>BAAI/bge-small-en-v1.5 (dense section candidates for promotion)</t>
        </is>
      </c>
      <c r="L82" s="2" t="inlineStr">
        <is>
          <t>SUCCESS</t>
        </is>
      </c>
      <c r="M82" s="2" t="inlineStr"/>
      <c r="N82" s="2" t="inlineStr">
        <is>
          <t>Key cites FD&amp;C Act (statute) only; the Regulus corpus holds eCFR and FDA guidance, no statute text. Evidence (5): 21 CFR 740.18(a) [exact]; 21 CFR 740.18(a) [exact]; 21 CFR 740.18(b) [exact]; 21 CFR 740.2(a) [exact]; 21 CFR 740.2(b) [exact]. Query type None; semantic fallback not invoked.</t>
        </is>
      </c>
      <c r="O82" s="2" t="n">
        <v>81</v>
      </c>
      <c r="P82" s="2" t="inlineStr">
        <is>
          <t>FDCA</t>
        </is>
      </c>
      <c r="Q82" s="2" t="inlineStr">
        <is>
          <t>Exemption</t>
        </is>
      </c>
      <c r="R82" s="2" t="inlineStr">
        <is>
          <t>Advanced</t>
        </is>
      </c>
      <c r="S82" s="2" t="inlineStr">
        <is>
          <t>FD&amp;C Act 601(a) [21 U.S.C. 361(a)]</t>
        </is>
      </c>
      <c r="T82" s="2" t="n">
        <v>0</v>
      </c>
      <c r="U82" s="2" t="n">
        <v>0</v>
      </c>
      <c r="V82" s="2" t="n">
        <v>0</v>
      </c>
      <c r="W82" s="2" t="n">
        <v>0</v>
      </c>
      <c r="X82" s="2" t="n">
        <v>1</v>
      </c>
      <c r="Y82" s="2" t="inlineStr">
        <is>
          <t>Withheld by validator (no answer shown)</t>
        </is>
      </c>
      <c r="Z82" s="2" t="inlineStr">
        <is>
          <t>initial False [provision_citation_mismatch] -&gt; final False; repair applied; fallback unvalidated_answer_withheld</t>
        </is>
      </c>
      <c r="AA82" s="2" t="inlineStr"/>
      <c r="AB82" s="2" t="n"/>
      <c r="AC82" s="2" t="n"/>
      <c r="AD82" s="2" t="n"/>
      <c r="AE82" s="3" t="n"/>
      <c r="AF82" s="3" t="n"/>
      <c r="AG82" s="3" t="n"/>
      <c r="AH82" s="3" t="n"/>
      <c r="AI82" s="2" t="inlineStr"/>
    </row>
    <row r="83">
      <c r="A83" s="2" t="inlineStr">
        <is>
          <t>COS-FDCA601-Q2</t>
        </is>
      </c>
      <c r="B83" s="2" t="inlineStr">
        <is>
          <t>An investigator found rodent droppings in our lotion warehouse, and our jars use a recycled resin of unknown makeup. Which adulteration provisions could be in play?</t>
        </is>
      </c>
      <c r="C83" s="2" t="inlineStr">
        <is>
          <t>601(b): adulterated if it consists in whole or in part of any filthy, putrid, or decomposed substance. 601(c): if prepared, packed, or held under insanitary conditions whereby it may have become contaminated with filth, or may have been rendered injurious to health. 601(d): if its container is composed, in whole or in part, of any poisonous or deleterious substance which may render the contents injurious to health.</t>
        </is>
      </c>
      <c r="D83" s="2" t="inlineStr">
        <is>
          <t>The generated answer could not be validated against the retrieved regulatory evidence, so it is not shown. The retrieved sources were not verified to answer the question as asked, so their text is not quoted as an answer. Sources consulted: 21 CFR 700.27(a), 21 CFR 700.27(a)(1), 21 CFR 700.27(a)(1)(i), 21 CFR 700.27(a)(1)(ii), 21 CFR 700.27(a)(2) and 12 more.
Evidence limit: not all of the retrieved text of 21 CFR 700.27 fit in the evidence supplied for this answer (7 paragraphs left out). The answer above does not cover that text; consult the full provisions.</t>
        </is>
      </c>
      <c r="E83" s="2" t="inlineStr">
        <is>
          <t>FAIL</t>
        </is>
      </c>
      <c r="F83" s="2" t="inlineStr">
        <is>
          <t>Withheld. Its sources were 700.27, not FD&amp;C Act 601(b)-(d), and none of the filth, insanitary-conditions or poisonous-container provisions are stated.</t>
        </is>
      </c>
      <c r="G83" s="3" t="n">
        <v>85.90000000000001</v>
      </c>
      <c r="H83" s="4" t="n">
        <v>2973</v>
      </c>
      <c r="I83" s="4" t="n">
        <v>667</v>
      </c>
      <c r="J83" s="2" t="inlineStr">
        <is>
          <t>mlx-community/Qwen3-4B-Instruct-2507-4bit (rev 50d42775)</t>
        </is>
      </c>
      <c r="K83" s="2" t="inlineStr">
        <is>
          <t>BAAI/bge-small-en-v1.5 (dense section candidates for promotion)</t>
        </is>
      </c>
      <c r="L83" s="2" t="inlineStr">
        <is>
          <t>SUCCESS</t>
        </is>
      </c>
      <c r="M83" s="2" t="inlineStr"/>
      <c r="N83" s="2" t="inlineStr">
        <is>
          <t>Key cites FD&amp;C Act (statute) only; the Regulus corpus holds eCFR and FDA guidance, no statute text. Evidence (17): 21 CFR 700.27(a) [exact]; 21 CFR 700.27(a)(1) [exact]; 21 CFR 700.27(a)(1)(i) [exact]; 21 CFR 700.27(a)(1)(ii) [exact]; 21 CFR 700.27(a)(2) [exact]; 21 CFR 700.27(a)(3) [exact]; 21 CFR 700.27(a)(4) [exact]; 21 CFR 700.27(a)(5) [exact]; 21 CFR 700.27(a)(6) [exact]; 21 CFR 700.27(a)(7) [exact]; 21 CFR 700.27(a)(8) [exact]; 21 CFR 700.27(b) [exact]; 21 CFR 700.27(b)(1) [exact]; 21 CFR 700.27(b)(2) [exact]; 21 CFR 700.27(c) [exact]; 21 CFR 700.27(c)(1) [exact]; 21 CFR 700.27(d) [exact]. Query type None; semantic fallback not invoked.</t>
        </is>
      </c>
      <c r="O83" s="2" t="n">
        <v>82</v>
      </c>
      <c r="P83" s="2" t="inlineStr">
        <is>
          <t>FDCA</t>
        </is>
      </c>
      <c r="Q83" s="2" t="inlineStr">
        <is>
          <t>Specific Requirement</t>
        </is>
      </c>
      <c r="R83" s="2" t="inlineStr">
        <is>
          <t>Intermediate</t>
        </is>
      </c>
      <c r="S83" s="2" t="inlineStr">
        <is>
          <t>FD&amp;C Act 601(b), (c), (d) [21 U.S.C. 361(b)-(d)]</t>
        </is>
      </c>
      <c r="T83" s="2" t="n">
        <v>0</v>
      </c>
      <c r="U83" s="2" t="n">
        <v>0</v>
      </c>
      <c r="V83" s="2" t="n">
        <v>0</v>
      </c>
      <c r="W83" s="2" t="n">
        <v>0</v>
      </c>
      <c r="X83" s="2" t="n">
        <v>1</v>
      </c>
      <c r="Y83" s="2" t="inlineStr">
        <is>
          <t>Withheld by validator (no answer shown)</t>
        </is>
      </c>
      <c r="Z83" s="2" t="inlineStr">
        <is>
          <t>initial False [unsupported_claim] -&gt; final False; repair applied; fallback unvalidated_answer_withheld</t>
        </is>
      </c>
      <c r="AA83" s="2" t="inlineStr"/>
      <c r="AB83" s="2" t="n"/>
      <c r="AC83" s="2" t="n"/>
      <c r="AD83" s="2" t="n"/>
      <c r="AE83" s="3" t="n"/>
      <c r="AF83" s="3" t="n"/>
      <c r="AG83" s="3" t="n"/>
      <c r="AH83" s="3" t="n"/>
      <c r="AI83" s="2" t="inlineStr"/>
    </row>
    <row r="84">
      <c r="A84" s="2" t="inlineStr">
        <is>
          <t>COS-FDCA602-Q1</t>
        </is>
      </c>
      <c r="B84" s="2" t="inlineStr">
        <is>
          <t>Our serum is sold in a retail box. What does the misbranding section require the label to carry?</t>
        </is>
      </c>
      <c r="C84" s="2" t="inlineStr">
        <is>
          <t>602(b): in package form, the label must contain (1) the name and place of business of the manufacturer, packer, or distributor; (2) an accurate statement of the quantity of the contents in terms of weight, measure, or numerical count; and (3) the information required under 609 (21 U.S.C. 364e). Reasonable variations under item (2) and small-package exemptions are set by regulations.</t>
        </is>
      </c>
      <c r="D84" s="2" t="inlineStr">
        <is>
          <t>The misbranding section requires that, for a cosmetic sold in a retail box (i.e., package form), the label must contain: (1) the name and place of business of the manufacturer, packer, or distributor; (2) an accurate statement of the quantity of the contents in terms of weight, measure, or numerical count; and (3) the information required under section 364e of this title. This requirement applies unless exemptions are established by regulations prescribed by the Secretary for small packages, which may permit reasonable variations in the labeling. These requirements are part of what constitutes misbranding under FD&amp;C Act § 602(b), and failure to meet them would constitute a misbranded cosmetic.
FD&amp;C Act § 602(b) [21 U.S.C. 362(b)] requires that, for package form cosmetics, the label must contain (1) the name and place of business of the manufacturer, packer, or distributor; (2) an accurate statement of the quantity of the contents in terms of weight, measure, or numerical count; and (3) the information required under section 364e of this title. Reasonable variations are permitted under clause (2), and exemptions for small packages may be established by regulations prescribed by the Secretary [3].</t>
        </is>
      </c>
      <c r="E84" s="2" t="inlineStr">
        <is>
          <t>PASS</t>
        </is>
      </c>
      <c r="F84" s="2" t="inlineStr">
        <is>
          <t>Correctly gives all three 602(b) package-form label elements (name/place of business, accurate net quantity, 609/364e information) with the reasonable-variation and small-package regulatory exemptions, cited to 602(b). The first paragraph slightly blends variations with small-package exemptions, but the second states them correctly.</t>
        </is>
      </c>
      <c r="G84" s="3" t="n">
        <v>29.8</v>
      </c>
      <c r="H84" s="4" t="n">
        <v>1555</v>
      </c>
      <c r="I84" s="4" t="n">
        <v>271</v>
      </c>
      <c r="J84" s="2" t="inlineStr">
        <is>
          <t>mlx-community/Qwen3-4B-Instruct-2507-4bit (rev 50d42775)</t>
        </is>
      </c>
      <c r="K84" s="2" t="inlineStr">
        <is>
          <t>BAAI/bge-small-en-v1.5 (dense section candidates for promotion)</t>
        </is>
      </c>
      <c r="L84" s="2" t="inlineStr">
        <is>
          <t>SUCCESS</t>
        </is>
      </c>
      <c r="M84" s="2" t="inlineStr"/>
      <c r="N84" s="2" t="inlineStr">
        <is>
          <t>Key cites FD&amp;C Act (statute) only; the Regulus corpus holds eCFR and FDA guidance, no statute text. Evidence (7): FD&amp;C Act § 602 [21 U.S.C. 362] [supporting]; FD&amp;C Act § 602(a) [21 U.S.C. 362(a)] [supporting]; FD&amp;C Act § 602(b) [21 U.S.C. 362(b)] [supporting]; FD&amp;C Act § 602(c) [21 U.S.C. 362(c)] [supporting]; FD&amp;C Act § 602(d) [21 U.S.C. 362(d)] [supporting]; FD&amp;C Act § 602(e) [21 U.S.C. 362(e)] [supporting]; FD&amp;C Act § 602(f) [21 U.S.C. 362(f)] [supporting]. Query type None; semantic fallback not invoked.</t>
        </is>
      </c>
      <c r="O84" s="2" t="n">
        <v>83</v>
      </c>
      <c r="P84" s="2" t="inlineStr">
        <is>
          <t>FDCA</t>
        </is>
      </c>
      <c r="Q84" s="2" t="inlineStr">
        <is>
          <t>Specific Requirement</t>
        </is>
      </c>
      <c r="R84" s="2" t="inlineStr">
        <is>
          <t>Basic</t>
        </is>
      </c>
      <c r="S84" s="2" t="inlineStr">
        <is>
          <t>FD&amp;C Act 602(b) [21 U.S.C. 362(b)]</t>
        </is>
      </c>
      <c r="T84" s="2" t="n">
        <v>1</v>
      </c>
      <c r="U84" s="2" t="n">
        <v>0</v>
      </c>
      <c r="V84" s="2" t="n">
        <v>2</v>
      </c>
      <c r="W84" s="2" t="n">
        <v>2</v>
      </c>
      <c r="X84" s="2" t="n">
        <v>1</v>
      </c>
      <c r="Y84" s="2" t="inlineStr">
        <is>
          <t>Generated answer</t>
        </is>
      </c>
      <c r="Z84" s="2" t="inlineStr">
        <is>
          <t>initial True -&gt; final True</t>
        </is>
      </c>
      <c r="AA84" s="2" t="inlineStr">
        <is>
          <t>[3] = FD&amp;C Act § 602(b) [21 U.S.C. 362(b)]</t>
        </is>
      </c>
      <c r="AB84" s="2" t="n"/>
      <c r="AC84" s="2" t="n"/>
      <c r="AD84" s="2" t="n"/>
      <c r="AE84" s="3" t="n"/>
      <c r="AF84" s="3" t="n"/>
      <c r="AG84" s="3" t="n"/>
      <c r="AH84" s="3" t="n"/>
      <c r="AI84" s="2" t="inlineStr"/>
    </row>
    <row r="85">
      <c r="A85" s="2" t="inlineStr">
        <is>
          <t>COS-FDCA604-Q2</t>
        </is>
      </c>
      <c r="B85" s="2" t="inlineStr">
        <is>
          <t>A customer reports a second-degree burn after using our at-home peel as directed. Is it a 'serious adverse event', and who is the 'responsible person'?</t>
        </is>
      </c>
      <c r="C85" s="2" t="inlineStr">
        <is>
          <t>604(5)(A): serious includes significant disfigurement (including serious and persistent rashes, second- or third-degree burns, significant hair loss, or persistent or significant alteration of appearance), other than as intended, under customary or usual conditions of use. 604(4): responsible person is the manufacturer, packer, or distributor whose name appears on the label under 609(a) or 15 U.S.C. 1453(a).</t>
        </is>
      </c>
      <c r="D85" s="2" t="inlineStr">
        <is>
          <t>A second-degree burn after use of an at-home peel as directed constitutes a serious adverse event because it meets the definition of "significant disfigurement" under conditions of use that are customary or usual, as specified in FD&amp;C Act § 604(5)(vii)[6]. The responsible person is the manufacturer, packer, or distributor of the cosmetic product whose name appears on the label of such cosmetic product in accordance with section 364e(a) of this title or section 1453(a) of title 15, as defined in FD&amp;C Act § 604(4)[5].
FD&amp;C Act § 604(5)(vii)[6] defines a serious adverse event to include "significant disfigurement (including serious and persistent rashes, second- or third-degree burns, significant hair loss, or persistent or significant alteration of appearance), other than as intended, under conditions of use that are customary or usual."
FD&amp;C Act § 604(4)[5] defines the term "responsible person" to mean the manufacturer, packer, or distributor of a cosmetic product whose name appears on the label of such cosmetic product in accordance with section 364e(a) of this title or section 1453(a) of title 15.</t>
        </is>
      </c>
      <c r="E85" s="2" t="inlineStr">
        <is>
          <t>PASS</t>
        </is>
      </c>
      <c r="F85" s="2" t="inlineStr">
        <is>
          <t>Applies the facts: a second-degree burn is significant disfigurement under customary use, so it is a serious adverse event (604(5)). Responsible person is defined correctly per 604(4) with the 609(a)/15 U.S.C. 1453(a) label reference. The pinpoint '604(5)(vii)' leaves out the (A) level but points to the correct paragraph and clause.</t>
        </is>
      </c>
      <c r="G85" s="3" t="n">
        <v>30.6</v>
      </c>
      <c r="H85" s="4" t="n">
        <v>1770</v>
      </c>
      <c r="I85" s="4" t="n">
        <v>275</v>
      </c>
      <c r="J85" s="2" t="inlineStr">
        <is>
          <t>mlx-community/Qwen3-4B-Instruct-2507-4bit (rev 50d42775)</t>
        </is>
      </c>
      <c r="K85" s="2" t="inlineStr">
        <is>
          <t>BAAI/bge-small-en-v1.5 (dense section candidates for promotion)</t>
        </is>
      </c>
      <c r="L85" s="2" t="inlineStr">
        <is>
          <t>SUCCESS</t>
        </is>
      </c>
      <c r="M85" s="2" t="inlineStr"/>
      <c r="N85" s="2" t="inlineStr">
        <is>
          <t>Key cites FD&amp;C Act (statute) only; the Regulus corpus holds eCFR and FDA guidance, no statute text. Evidence (6): FD&amp;C Act § 604 [21 U.S.C. 364] [supporting]; FD&amp;C Act § 604(1) [21 U.S.C. 364(1)] [supporting]; FD&amp;C Act § 604(2) [21 U.S.C. 364(2)] [supporting]; FD&amp;C Act § 604(3) [21 U.S.C. 364(3)] [supporting]; FD&amp;C Act § 604(4) [21 U.S.C. 364(4)] [supporting]; FD&amp;C Act § 604(5) [21 U.S.C. 364(5)] [supporting]. Query type None; semantic fallback not invoked.</t>
        </is>
      </c>
      <c r="O85" s="2" t="n">
        <v>84</v>
      </c>
      <c r="P85" s="2" t="inlineStr">
        <is>
          <t>FDCA</t>
        </is>
      </c>
      <c r="Q85" s="2" t="inlineStr">
        <is>
          <t>Specific Requirement</t>
        </is>
      </c>
      <c r="R85" s="2" t="inlineStr">
        <is>
          <t>Intermediate</t>
        </is>
      </c>
      <c r="S85" s="2" t="inlineStr">
        <is>
          <t>FD&amp;C Act 604(4), (5) [21 U.S.C. 364(4), (5)]</t>
        </is>
      </c>
      <c r="T85" s="2" t="n">
        <v>1</v>
      </c>
      <c r="U85" s="2" t="n">
        <v>0</v>
      </c>
      <c r="V85" s="2" t="n">
        <v>2</v>
      </c>
      <c r="W85" s="2" t="n">
        <v>2</v>
      </c>
      <c r="X85" s="2" t="n">
        <v>1</v>
      </c>
      <c r="Y85" s="2" t="inlineStr">
        <is>
          <t>Generated answer</t>
        </is>
      </c>
      <c r="Z85" s="2" t="inlineStr">
        <is>
          <t>initial True -&gt; final True</t>
        </is>
      </c>
      <c r="AA85" s="2" t="inlineStr">
        <is>
          <t>[6] = FD&amp;C Act § 604(5) [21 U.S.C. 364(5)]; [5] = FD&amp;C Act § 604(4) [21 U.S.C. 364(4)]</t>
        </is>
      </c>
      <c r="AB85" s="2" t="n"/>
      <c r="AC85" s="2" t="n"/>
      <c r="AD85" s="2" t="n"/>
      <c r="AE85" s="3" t="n"/>
      <c r="AF85" s="3" t="n"/>
      <c r="AG85" s="3" t="n"/>
      <c r="AH85" s="3" t="n"/>
      <c r="AI85" s="2" t="inlineStr"/>
    </row>
    <row r="86">
      <c r="A86" s="2" t="inlineStr">
        <is>
          <t>COS-FDCA605-Q2</t>
        </is>
      </c>
      <c r="B86" s="2" t="inlineStr">
        <is>
          <t>How long must we keep adverse event records for our skin creams, and who may see them during an inspection?</t>
        </is>
      </c>
      <c r="C86" s="2" t="inlineStr">
        <is>
          <t>605(e)(1): records related to each report of an adverse event associated with U.S. use of a product the person manufactured or distributed must be kept 6 years; a 612 small business not making 612(b) products keeps them 3 years. 605(e)(2): during a 704 inspection, permit an authorized person (HHS officer or employee with appropriate credentials, duly designated by the Secretary) to access the records.</t>
        </is>
      </c>
      <c r="D86" s="2" t="inlineStr">
        <is>
          <t>Adverse event records for skin creams must be kept for 6 years by most responsible persons, except for small businesses that do not engage in manufacturing or processing of cosmetic products described in section 364h(b) of the FD&amp;C Act, which are exempt and only required to maintain such records for 3 years. During an inspection, access to these records is permitted for officers or employees of the Department of Health and Human Services who have appropriate credentials as determined by the Secretary and have been duly designated by the Secretary to have access to the records [3].
Records related to adverse events must be maintained for a period of 6 years, except that a small business not engaged in manufacturing or processing of cosmetic products described in subsection 364h(b) shall maintain such records for only 3 years [3].  
Access to these records during an inspection is permitted for an authorized person, defined as an officer or employee of the Department of Health and Human Services who has appropriate credentials as determined by the Secretary and has been duly designated by the Secretary to have access to the records [3].
Evidence limit: not all of the retrieved text of FD&amp;C Act § 605 fit in the evidence supplied for this answer (2 paragraphs left out). The answer above does not cover that text; consult the full provisions.</t>
        </is>
      </c>
      <c r="E86" s="2" t="inlineStr">
        <is>
          <t>PASS</t>
        </is>
      </c>
      <c r="F86" s="2" t="inlineStr">
        <is>
          <t>Gives the 6-year retention, the 3-year period for small businesses not making 612(b) products, and inspection access for credentialed, duly designated HHS officers or employees, all cited to 605(e). Calling small businesses 'exempt' is a wording slip, but the stated 3-year period is correct.</t>
        </is>
      </c>
      <c r="G86" s="3" t="n">
        <v>32.1</v>
      </c>
      <c r="H86" s="4" t="n">
        <v>2535</v>
      </c>
      <c r="I86" s="4" t="n">
        <v>221</v>
      </c>
      <c r="J86" s="2" t="inlineStr">
        <is>
          <t>mlx-community/Qwen3-4B-Instruct-2507-4bit (rev 50d42775)</t>
        </is>
      </c>
      <c r="K86" s="2" t="inlineStr">
        <is>
          <t>BAAI/bge-small-en-v1.5 (dense section candidates for promotion)</t>
        </is>
      </c>
      <c r="L86" s="2" t="inlineStr">
        <is>
          <t>SUCCESS</t>
        </is>
      </c>
      <c r="M86" s="2" t="inlineStr"/>
      <c r="N86" s="2" t="inlineStr">
        <is>
          <t>Key cites FD&amp;C Act (statute) only; the Regulus corpus holds eCFR and FDA guidance, no statute text. Evidence (9): FD&amp;C Act § 605(a) [21 U.S.C. 364a(a)] [supporting]; FD&amp;C Act § 605(c) [21 U.S.C. 364a(c)] [supporting]; FD&amp;C Act § 605(e) [21 U.S.C. 364a(e)] [supporting]; FD&amp;C Act § 605(f) [21 U.S.C. 364a(f)] [supporting]; FD&amp;C Act § 605(g) [21 U.S.C. 364a(g)] [supporting]; FD&amp;C Act § 605(h) [21 U.S.C. 364a(h)] [supporting]; FD&amp;C Act § 604(1) [21 U.S.C. 364(1)] [supporting]; FD&amp;C Act § 604(4) [21 U.S.C. 364(4)] [supporting]; FD&amp;C Act § 604(5) [21 U.S.C. 364(5)] [supporting]. Query type None; semantic fallback not invoked.</t>
        </is>
      </c>
      <c r="O86" s="2" t="n">
        <v>85</v>
      </c>
      <c r="P86" s="2" t="inlineStr">
        <is>
          <t>FDCA</t>
        </is>
      </c>
      <c r="Q86" s="2" t="inlineStr">
        <is>
          <t>Records/Evidence</t>
        </is>
      </c>
      <c r="R86" s="2" t="inlineStr">
        <is>
          <t>Intermediate</t>
        </is>
      </c>
      <c r="S86" s="2" t="inlineStr">
        <is>
          <t>FD&amp;C Act 605(e)(1), (e)(2) [21 U.S.C. 364a(e)]</t>
        </is>
      </c>
      <c r="T86" s="2" t="n">
        <v>1</v>
      </c>
      <c r="U86" s="2" t="n">
        <v>0</v>
      </c>
      <c r="V86" s="2" t="n">
        <v>2</v>
      </c>
      <c r="W86" s="2" t="n">
        <v>2</v>
      </c>
      <c r="X86" s="2" t="n">
        <v>1</v>
      </c>
      <c r="Y86" s="2" t="inlineStr">
        <is>
          <t>Generated answer</t>
        </is>
      </c>
      <c r="Z86" s="2" t="inlineStr">
        <is>
          <t>initial True -&gt; final True</t>
        </is>
      </c>
      <c r="AA86" s="2" t="inlineStr">
        <is>
          <t>[3] = FD&amp;C Act § 605(e) [21 U.S.C. 364a(e)]</t>
        </is>
      </c>
      <c r="AB86" s="2" t="n"/>
      <c r="AC86" s="2" t="n"/>
      <c r="AD86" s="2" t="n"/>
      <c r="AE86" s="3" t="n"/>
      <c r="AF86" s="3" t="n"/>
      <c r="AG86" s="3" t="n"/>
      <c r="AH86" s="3" t="n"/>
      <c r="AI86" s="2" t="inlineStr"/>
    </row>
    <row r="87">
      <c r="A87" s="2" t="inlineStr">
        <is>
          <t>COS-FDCA608-Q1</t>
        </is>
      </c>
      <c r="B87" s="2" t="inlineStr">
        <is>
          <t>We're the brand owner of a new face serum made by a contract lab. What does the FD&amp;C Act require us to have on safety before and while we market it?</t>
        </is>
      </c>
      <c r="C87" s="2" t="inlineStr">
        <is>
          <t>608(a): the responsible person shall ensure, and maintain records supporting, that there is adequate substantiation of safety of the product. 608(c)(1): tests or studies, research, analyses, or other evidence or information considered, among qualified experts, sufficient to support a reasonable certainty that the product is safe. Without it the product is adulterated under 601(g). No specific test is mandated.</t>
        </is>
      </c>
      <c r="D87" s="2" t="inlineStr">
        <is>
          <t>The FD&amp;C Act requires that a brand owner of a face serum made by a contract lab ensure and maintain records supporting adequate substantiation of safety of the product before and while marketing it. This includes maintaining evidence that the product is safe under the conditions of use prescribed in the labeling or customary/usual conditions, where "safe" means not injurious to users, and minor transient reactions do not constitute injury. The requirement for adequate substantiation of safety involves tests, studies, research, analyses, or other evidence considered sufficient by experts qualified by scientific training and experience to evaluate the safety of cosmetic products and their ingredients. The requirement may consider cumulative or relevant exposure to the product or ingredient when determining safety. 
FD&amp;C Act § 608(a) [21 U.S.C. 364d(a)] requires a responsible person for a cosmetic product to ensure and maintain records supporting adequate substantiation of safety of such product.  
FD&amp;C Act § 608(c)(1) [21 U.S.C. 364d(c)(1)] defines "adequate substantiation of safety" as tests or studies, research, analyses, or other evidence considered sufficient by experts qualified by scientific training and experience to evaluate the safety of cosmetic products and their ingredients.  
FD&amp;C Act § 608(c)(2) [21 U.S.C. 364d(c)(2)] defines "safe" as meaning the product is not injurious under the conditions of use prescribed in labeling or customary/usual conditions, and the Secretary shall not consider a cosmetic ingredient or product injurious solely because it causes minor and transient reactions or irritations in some users.  
FD&amp;C Act § 608(c)(3) [21 U.S.C. 364d(c)] allows consideration of cumulative or other relevant exposure to the cosmetic product, including any ingredient, when determining whether a product is safe.  
The requirement does not apply to coal-tar hair dye if it otherwise complies with section 361(a), as specified in FD&amp;C Act § 608(b) [21 U.S.C. 364d(b)].  
The responsible person for the face serum, defined as the manufacturer, packer, or distributor whose name appears on the label, is required to maintain records supporting safety substantiation, per FD&amp;C Act § 604(4) [21 U.S.C. 364(4)].</t>
        </is>
      </c>
      <c r="E87" s="2" t="inlineStr">
        <is>
          <t>PARTIALLY FAIL</t>
        </is>
      </c>
      <c r="F87" s="2" t="inlineStr">
        <is>
          <t>Cites '608(c)(3)', which does not exist; the cumulative-exposure text sits in 608(c)(2). The (c)(1) paraphrase drops the governing 'sufficient to support a reasonable certainty that the product is safe' standard. The answer also omits that a product lacking substantiation is adulterated under 601(g), a key element.</t>
        </is>
      </c>
      <c r="G87" s="3" t="n">
        <v>63.2</v>
      </c>
      <c r="H87" s="4" t="n">
        <v>2043</v>
      </c>
      <c r="I87" s="4" t="n">
        <v>508</v>
      </c>
      <c r="J87" s="2" t="inlineStr">
        <is>
          <t>mlx-community/Qwen3-4B-Instruct-2507-4bit (rev 50d42775)</t>
        </is>
      </c>
      <c r="K87" s="2" t="inlineStr">
        <is>
          <t>BAAI/bge-small-en-v1.5 (dense section candidates for promotion)</t>
        </is>
      </c>
      <c r="L87" s="2" t="inlineStr">
        <is>
          <t>SUCCESS</t>
        </is>
      </c>
      <c r="M87" s="2" t="inlineStr"/>
      <c r="N87" s="2" t="inlineStr">
        <is>
          <t>Key cites FD&amp;C Act (statute) only; the Regulus corpus holds eCFR and FDA guidance, no statute text. Evidence (4): FD&amp;C Act § 608(a) [21 U.S.C. 364d(a)] [supporting]; FD&amp;C Act § 608(b) [21 U.S.C. 364d(b)] [supporting]; FD&amp;C Act § 608(c) [21 U.S.C. 364d(c)] [supporting]; FD&amp;C Act § 604(4) [21 U.S.C. 364(4)] [supporting]. Query type None; semantic fallback not invoked.</t>
        </is>
      </c>
      <c r="O87" s="2" t="n">
        <v>86</v>
      </c>
      <c r="P87" s="2" t="inlineStr">
        <is>
          <t>FDCA</t>
        </is>
      </c>
      <c r="Q87" s="2" t="inlineStr">
        <is>
          <t>How to Comply</t>
        </is>
      </c>
      <c r="R87" s="2" t="inlineStr">
        <is>
          <t>Intermediate</t>
        </is>
      </c>
      <c r="S87" s="2" t="inlineStr">
        <is>
          <t>FD&amp;C Act 608(a), (c)(1) [21 U.S.C. 364d(a), (c)(1)]</t>
        </is>
      </c>
      <c r="T87" s="2" t="n">
        <v>0</v>
      </c>
      <c r="U87" s="2" t="n">
        <v>0</v>
      </c>
      <c r="V87" s="2" t="n">
        <v>1</v>
      </c>
      <c r="W87" s="2" t="n">
        <v>1</v>
      </c>
      <c r="X87" s="2" t="n">
        <v>1</v>
      </c>
      <c r="Y87" s="2" t="inlineStr">
        <is>
          <t>Generated answer</t>
        </is>
      </c>
      <c r="Z87" s="2" t="inlineStr">
        <is>
          <t>initial True -&gt; final True</t>
        </is>
      </c>
      <c r="AA87" s="2" t="inlineStr"/>
      <c r="AB87" s="2" t="n"/>
      <c r="AC87" s="2" t="n"/>
      <c r="AD87" s="2" t="n"/>
      <c r="AE87" s="3" t="n"/>
      <c r="AF87" s="3" t="n"/>
      <c r="AG87" s="3" t="n"/>
      <c r="AH87" s="3" t="n"/>
      <c r="AI87" s="2" t="inlineStr"/>
    </row>
    <row r="88">
      <c r="A88" s="2" t="inlineStr">
        <is>
          <t>COS-FDCA610-Q1</t>
        </is>
      </c>
      <c r="B88" s="2" t="inlineStr">
        <is>
          <t>FDA arrived with written notice, asking for records on a shampoo it believes is contaminated and dangerous. What must we provide?</t>
        </is>
      </c>
      <c r="C88" s="2" t="inlineStr">
        <is>
          <t>610(a): if the Secretary has a reasonable belief that a product or ingredient, and other products reasonably believed similarly affected, is likely adulterated and presents a threat of serious adverse health consequences or death, each responsible person and facility shall permit a designated officer or employee, on appropriate credentials and written notice, at reasonable times and in a reasonable manner, to access and copy related records needed for that determination.</t>
        </is>
      </c>
      <c r="D88" s="2" t="inlineStr">
        <is>
          <t>If the FDA delivers a written notice requesting records on a shampoo it believes is contaminated and dangerous, the responsible person and facility must permit an FDA officer or employee, upon presentation of appropriate credentials and a written notice, to have access to and copy all records relating to that cosmetic product and any other cosmetic product the Secretary reasonably believes is likely to be affected in a similar manner, provided such records are needed to assist the Secretary in determining whether the cosmetic product is adulterated and presents a threat of serious adverse health consequences or death to humans. Access must occur at reasonable times and within reasonable limits and in a reasonable manner. The request must be made by an officer or employee duly designated by the Secretary.
The provision requires access to and copying of all records relating to the cosmetic product and any other cosmetic product the Secretary reasonably believes is likely to be affected in a similar manner [1].  
Access is permitted only if the records are needed to assist the Secretary in determining whether the cosmetic product is adulterated and presents a threat of serious adverse health consequences or death to humans [1].  
The request must be made by an officer or employee duly designated by the Secretary, upon presentation of appropriate credentials and a written notice [1].  
Access occurs at reasonable times and within reasonable limits and in a reasonable manner [1].  
Records that are excluded include recipes or formulas for cosmetics, financial data, pricing data, personnel data (other than data as to qualification of technical and professional personnel performing functions subject to this chapter), research data (other than safety substantiation data for cosmetic products and their ingredients), and sales data (other than shipment data regarding sales) [1].  
The requirement does not extend to records related to a facility that solely performs labeling, relabeling, packaging, repackaging, holding, or distributing of cosmetic products if such activities are not part of the manufacturing or processing of a product for retail sale [1].</t>
        </is>
      </c>
      <c r="E88" s="2" t="inlineStr">
        <is>
          <t>PARTIALLY PASS</t>
        </is>
      </c>
      <c r="F88" s="2" t="inlineStr">
        <is>
          <t>Core obligation matches 610(a): credentials and written notice, reasonable times and manner, access to and copying of records on the product and similarly affected products needed for the adulteration and threat determination. However, the data-exclusion list (610(b)) and the 'solely labeling/holding/distributing facility' carve-out (604(3)(B)) are both cited to 610(a), the wrong paragraph.</t>
        </is>
      </c>
      <c r="G88" s="3" t="n">
        <v>62.9</v>
      </c>
      <c r="H88" s="4" t="n">
        <v>2408</v>
      </c>
      <c r="I88" s="4" t="n">
        <v>386</v>
      </c>
      <c r="J88" s="2" t="inlineStr">
        <is>
          <t>mlx-community/Qwen3-4B-Instruct-2507-4bit (rev 50d42775)</t>
        </is>
      </c>
      <c r="K88" s="2" t="inlineStr">
        <is>
          <t>BAAI/bge-small-en-v1.5 (dense section candidates for promotion)</t>
        </is>
      </c>
      <c r="L88" s="2" t="inlineStr">
        <is>
          <t>SUCCESS</t>
        </is>
      </c>
      <c r="M88" s="2" t="inlineStr"/>
      <c r="N88" s="2" t="inlineStr">
        <is>
          <t>Key cites FD&amp;C Act (statute) only; the Regulus corpus holds eCFR and FDA guidance, no statute text. Evidence (4): FD&amp;C Act § 610(a) [21 U.S.C. 364f(a)] [supporting]; FD&amp;C Act § 610(b) [21 U.S.C. 364f(b)] [supporting]; FD&amp;C Act § 604(3) [21 U.S.C. 364(3)] [supporting]; FD&amp;C Act § 604(4) [21 U.S.C. 364(4)] [supporting]. Query type None; semantic fallback not invoked.</t>
        </is>
      </c>
      <c r="O88" s="2" t="n">
        <v>87</v>
      </c>
      <c r="P88" s="2" t="inlineStr">
        <is>
          <t>FDCA</t>
        </is>
      </c>
      <c r="Q88" s="2" t="inlineStr">
        <is>
          <t>Records/Evidence</t>
        </is>
      </c>
      <c r="R88" s="2" t="inlineStr">
        <is>
          <t>Advanced</t>
        </is>
      </c>
      <c r="S88" s="2" t="inlineStr">
        <is>
          <t>FD&amp;C Act 610(a) [21 U.S.C. 364f(a)]</t>
        </is>
      </c>
      <c r="T88" s="2" t="n">
        <v>0</v>
      </c>
      <c r="U88" s="2" t="n">
        <v>0</v>
      </c>
      <c r="V88" s="2" t="n">
        <v>2</v>
      </c>
      <c r="W88" s="2" t="n">
        <v>2</v>
      </c>
      <c r="X88" s="2" t="n">
        <v>1</v>
      </c>
      <c r="Y88" s="2" t="inlineStr">
        <is>
          <t>Generated answer</t>
        </is>
      </c>
      <c r="Z88" s="2" t="inlineStr">
        <is>
          <t>initial True -&gt; final True</t>
        </is>
      </c>
      <c r="AA88" s="2" t="inlineStr">
        <is>
          <t>[1] = FD&amp;C Act § 610(a) [21 U.S.C. 364f(a)]</t>
        </is>
      </c>
      <c r="AB88" s="2" t="n"/>
      <c r="AC88" s="2" t="n"/>
      <c r="AD88" s="2" t="n"/>
      <c r="AE88" s="3" t="n"/>
      <c r="AF88" s="3" t="n"/>
      <c r="AG88" s="3" t="n"/>
      <c r="AH88" s="3" t="n"/>
      <c r="AI88" s="2" t="inlineStr"/>
    </row>
    <row r="89">
      <c r="A89" s="2" t="inlineStr">
        <is>
          <t>COS-FDCA610-Q2</t>
        </is>
      </c>
      <c r="B89" s="2" t="inlineStr">
        <is>
          <t>We're a contract filler; the brand owner is the responsible person. Do the 610 record-access duties apply to us?</t>
        </is>
      </c>
      <c r="C89" s="2" t="inlineStr">
        <is>
          <t>Yes, when 610(a)'s conditions are met: 'each responsible person and facility' shall permit access to records relating to the product, and other similarly affected products, needed to assist the Secretary in determining whether the product is adulterated and presents a threat of serious adverse health consequences or death.</t>
        </is>
      </c>
      <c r="D89" s="2" t="inlineStr">
        <is>
          <t>Yes, the 610 record-access duties apply to contract fillers when the brand owner is the responsible person, because § 610(a) applies to each responsible person and facility, and if the brand owner is listed on the label as the responsible person under § 604(4), then that person and any facility involved in manufacturing or processing cosmetics are subject to record access requirements [1].  
The record-access duties under FD&amp;C Act § 610(a) apply to each responsible person and facility when the Secretary has a reasonable belief that a cosmetic product is likely to be adulterated in a manner posing a threat of serious adverse health consequences or death [1].  
The record-access duties do not extend to recipes or formulas, financial data, pricing data, personnel data (other than data on qualification of technical and professional personnel), research data (except safety substantiation data for cosmetics and ingredients), or sales data (except shipment data regarding sales) [1].  
The record-access duty applies only if the Secretary has a reasonable belief that a cosmetic product is likely to be adulterated and poses a threat of serious adverse health consequences or death; otherwise, no access is required under § 610(a) [1].  
The record-access duty applies to any facility that manufactures or processes cosmetic products, including contract fillers engaged in such activities, as long as they are not excluded by § 604(3)(B), which excludes entities performing only labeling, relabeling, packaging, repackaging, holding, or distributing without manufacturing or processing [1].  
The record-access duty does not apply to a facility that solely performs one or more of the following: labeling, relabeling, packaging, repackaging, holding, or distributing—unless such activities are part of a larger process involving manufacture or processing of cosmetic products [1].  
These provisions do not require any specific retention period for records beyond what is necessary to assist the Secretary in determining adulteration [1].</t>
        </is>
      </c>
      <c r="E89" s="2" t="inlineStr">
        <is>
          <t>PARTIALLY PASS</t>
        </is>
      </c>
      <c r="F89" s="2" t="inlineStr">
        <is>
          <t>Correctly answers yes, conditioned on the Secretary's reasonable belief of adulteration posing a serious-harm threat, applying to 'each responsible person and facility'. It cites 610(a), 604(4) and 604(3)(B) correctly, and its exclusions are accurate. But it never says what the duty actually requires: letting a designated officer access and copy records relating to the product and to other similarly affected products, as needed to assist the Secretary. That key element matters for a contract filler that makes products for several brands, so this is not a PASS.</t>
        </is>
      </c>
      <c r="G89" s="3" t="n">
        <v>80.2</v>
      </c>
      <c r="H89" s="4" t="n">
        <v>3197</v>
      </c>
      <c r="I89" s="4" t="n">
        <v>411</v>
      </c>
      <c r="J89" s="2" t="inlineStr">
        <is>
          <t>mlx-community/Qwen3-4B-Instruct-2507-4bit (rev 50d42775)</t>
        </is>
      </c>
      <c r="K89" s="2" t="inlineStr">
        <is>
          <t>BAAI/bge-small-en-v1.5 (dense section candidates for promotion)</t>
        </is>
      </c>
      <c r="L89" s="2" t="inlineStr">
        <is>
          <t>SUCCESS</t>
        </is>
      </c>
      <c r="M89" s="2" t="inlineStr"/>
      <c r="N89" s="2" t="inlineStr">
        <is>
          <t>Key cites FD&amp;C Act (statute) only; the Regulus corpus holds eCFR and FDA guidance, no statute text. Evidence (4): FD&amp;C Act § 610(a) [21 U.S.C. 364f(a)] [supporting]; FD&amp;C Act § 610(b) [21 U.S.C. 364f(b)] [supporting]; FD&amp;C Act § 604(3) [21 U.S.C. 364(3)] [supporting]; FD&amp;C Act § 604(4) [21 U.S.C. 364(4)] [supporting]. Query type None; semantic fallback not invoked.</t>
        </is>
      </c>
      <c r="O89" s="2" t="n">
        <v>88</v>
      </c>
      <c r="P89" s="2" t="inlineStr">
        <is>
          <t>FDCA</t>
        </is>
      </c>
      <c r="Q89" s="2" t="inlineStr">
        <is>
          <t>Applicability</t>
        </is>
      </c>
      <c r="R89" s="2" t="inlineStr">
        <is>
          <t>Intermediate</t>
        </is>
      </c>
      <c r="S89" s="2" t="inlineStr">
        <is>
          <t>FD&amp;C Act 610(a) [21 U.S.C. 364f(a)]</t>
        </is>
      </c>
      <c r="T89" s="2" t="n">
        <v>1</v>
      </c>
      <c r="U89" s="2" t="n">
        <v>0</v>
      </c>
      <c r="V89" s="2" t="n">
        <v>2</v>
      </c>
      <c r="W89" s="2" t="n">
        <v>1</v>
      </c>
      <c r="X89" s="2" t="n">
        <v>1</v>
      </c>
      <c r="Y89" s="2" t="inlineStr">
        <is>
          <t>Generated answer</t>
        </is>
      </c>
      <c r="Z89" s="2" t="inlineStr">
        <is>
          <t>initial True -&gt; final True</t>
        </is>
      </c>
      <c r="AA89" s="2" t="inlineStr">
        <is>
          <t>[1] = FD&amp;C Act § 610(a) [21 U.S.C. 364f(a)]</t>
        </is>
      </c>
      <c r="AB89" s="2" t="n"/>
      <c r="AC89" s="2" t="n"/>
      <c r="AD89" s="2" t="n"/>
      <c r="AE89" s="3" t="n"/>
      <c r="AF89" s="3" t="n"/>
      <c r="AG89" s="3" t="n"/>
      <c r="AH89" s="3" t="n"/>
      <c r="AI89" s="2" t="inlineStr"/>
    </row>
    <row r="90">
      <c r="A90" s="2" t="inlineStr">
        <is>
          <t>COS-FDCA611-Q1</t>
        </is>
      </c>
      <c r="B90" s="2" t="inlineStr">
        <is>
          <t>FDA says our talc body powder may be adulterated and could cause serious harm. Can FDA force us to stop distribution or recall?</t>
        </is>
      </c>
      <c r="C90" s="2" t="inlineStr">
        <is>
          <t>611(a): if the Secretary determines a reasonable probability that a cosmetic is adulterated or misbranded and its use or exposure will cause serious adverse health consequences or death, the responsible person first gets an opportunity to voluntarily cease distribution and recall; if it refuses or does not do so in the time and manner prescribed, the Secretary may order immediate cessation of distribution. (b): informal hearing within 10 days.</t>
        </is>
      </c>
      <c r="D90" s="2" t="inlineStr">
        <is>
          <t>Yes, FDA can force a company to stop distribution or recall talc body powder if the Secretary determines there is a reasonable probability that the product is adulterated or misbranded and use of or exposure to it could cause serious adverse health consequences or death. This authority is granted under FD&amp;C Act § 611(a), which allows the Secretary to issue an order requiring immediate cessation of distribution or recall, even if the responsible person refuses to act voluntarily [1].
The authority to require cessation of distribution or recall is established in FD&amp;C Act § 611(a) [21 U.S.C. 364g(a)], which provides that if the Secretary determines there is a reasonable probability that a cosmetic is adulterated or misbranded and exposure could cause serious adverse health consequences or death, the Secretary may issue an order requiring immediate cessation of distribution or recall, even if the responsible person refuses to act voluntarily [1].
The responsible person must be given an opportunity for an informal hearing within 10 days after the issuance of the order to determine whether adequate evidence justifies the order, as specified in FD&amp;C Act § 611(b) [21 U.S.C. 364g(b)] [2].
If the Secretary issues a recall or distribution cessation order, the responsible person must immediately cease distribution or recall the product and provide notification as required by the order, as mandated in FD&amp;C Act § 611(d) [21 U.S.C. 364g(d)] [4].
The Secretary may also require the responsible person to notify appropriate persons—including manufacturers, distributors, importers, and retailers—and the public about the recall or cessation of distribution, as specified in FD&amp;C Act § 611(e) [21 U.S.C. 364g(e)] [5].
In conducting a recall, the Secretary shall ensure that a press release is published and alerts are issued to consumers and retailers, including details such as the name of the product, description of the risk, and information about similar non-affected products, as required in FD&amp;C Act § 611(f) [21 U.S.C. 364g(f)] [6].
The authority to issue a recall order is not delegated; it must be exercised by the Commissioner, as stated in FD&amp;C Act § 611(g) [21 U.S.C. 364g(g)] [7].
Nothing in this section limits or affects the Secretary’s ability to request or participate in a voluntary recall, or to issue an order under any other provision of the subchapter, per FD&amp;C Act § 611(h) [21 U.S.C. 364g(h)] [8].</t>
        </is>
      </c>
      <c r="E90" s="2" t="inlineStr">
        <is>
          <t>PARTIALLY FAIL</t>
        </is>
      </c>
      <c r="F90" s="2" t="inlineStr">
        <is>
          <t>Misreads 611(a). The answer says FDA may order cessation 'or recall' 'even if' the person refuses, but the key says the responsible person must first get a chance to stop distribution and recall voluntarily. Only if it refuses or fails to act in time can FDA order distribution stopped, and recall comes by amended order after the hearing under 611(c), which the answer skips. The 10-day hearing in 611(b) is correct.</t>
        </is>
      </c>
      <c r="G90" s="3" t="n">
        <v>80.7</v>
      </c>
      <c r="H90" s="4" t="n">
        <v>2935</v>
      </c>
      <c r="I90" s="4" t="n">
        <v>568</v>
      </c>
      <c r="J90" s="2" t="inlineStr">
        <is>
          <t>mlx-community/Qwen3-4B-Instruct-2507-4bit (rev 50d42775)</t>
        </is>
      </c>
      <c r="K90" s="2" t="inlineStr">
        <is>
          <t>BAAI/bge-small-en-v1.5 (dense section candidates for promotion)</t>
        </is>
      </c>
      <c r="L90" s="2" t="inlineStr">
        <is>
          <t>SUCCESS</t>
        </is>
      </c>
      <c r="M90" s="2" t="inlineStr"/>
      <c r="N90" s="2" t="inlineStr">
        <is>
          <t>Key cites FD&amp;C Act (statute) only; the Regulus corpus holds eCFR and FDA guidance, no statute text. Evidence (9): FD&amp;C Act § 611(a) [21 U.S.C. 364g(a)] [supporting]; FD&amp;C Act § 611(b) [21 U.S.C. 364g(b)] [supporting]; FD&amp;C Act § 611(c) [21 U.S.C. 364g(c)] [supporting]; FD&amp;C Act § 611(d) [21 U.S.C. 364g(d)] [supporting]; FD&amp;C Act § 611(e) [21 U.S.C. 364g(e)] [supporting]; FD&amp;C Act § 611(f) [21 U.S.C. 364g(f)] [supporting]; FD&amp;C Act § 611(g) [21 U.S.C. 364g(g)] [supporting]; FD&amp;C Act § 611(h) [21 U.S.C. 364g(h)] [supporting]; FD&amp;C Act § 604(4) [21 U.S.C. 364(4)] [supporting]. Query type None; semantic fallback not invoked.</t>
        </is>
      </c>
      <c r="O90" s="2" t="n">
        <v>89</v>
      </c>
      <c r="P90" s="2" t="inlineStr">
        <is>
          <t>FDCA</t>
        </is>
      </c>
      <c r="Q90" s="2" t="inlineStr">
        <is>
          <t>Applicability</t>
        </is>
      </c>
      <c r="R90" s="2" t="inlineStr">
        <is>
          <t>Advanced</t>
        </is>
      </c>
      <c r="S90" s="2" t="inlineStr">
        <is>
          <t>FD&amp;C Act 611(a)-(c) [21 U.S.C. 364g]</t>
        </is>
      </c>
      <c r="T90" s="2" t="n">
        <v>1</v>
      </c>
      <c r="U90" s="2" t="n">
        <v>0</v>
      </c>
      <c r="V90" s="2" t="n">
        <v>1</v>
      </c>
      <c r="W90" s="2" t="n">
        <v>1</v>
      </c>
      <c r="X90" s="2" t="n">
        <v>1</v>
      </c>
      <c r="Y90" s="2" t="inlineStr">
        <is>
          <t>Generated answer</t>
        </is>
      </c>
      <c r="Z90" s="2" t="inlineStr">
        <is>
          <t>initial True -&gt; final True</t>
        </is>
      </c>
      <c r="AA90" s="2" t="inlineStr">
        <is>
          <t>[1] = FD&amp;C Act § 611(a) [21 U.S.C. 364g(a)]; [2] = FD&amp;C Act § 611(b) [21 U.S.C. 364g(b)]; [4] = FD&amp;C Act § 611(d) [21 U.S.C. 364g(d)]; [5] = FD&amp;C Act § 611(e) [21 U.S.C. 364g(e)]; [6] = FD&amp;C Act § 611(f) [21 U.S.C. 364g(f)]; [7] = FD&amp;C Act § 611(g) [21 U.S.C. 364g(g)]; [8] = FD&amp;C Act § 611(h) [21 U.S.C. 364g(h)]</t>
        </is>
      </c>
      <c r="AB90" s="2" t="n"/>
      <c r="AC90" s="2" t="n"/>
      <c r="AD90" s="2" t="n"/>
      <c r="AE90" s="3" t="n"/>
      <c r="AF90" s="3" t="n"/>
      <c r="AG90" s="3" t="n"/>
      <c r="AH90" s="3" t="n"/>
      <c r="AI90" s="2" t="inlineStr"/>
    </row>
    <row r="91">
      <c r="A91" s="2" t="inlineStr">
        <is>
          <t>COS-FDCA612-Q2</t>
        </is>
      </c>
      <c r="B91" s="2" t="inlineStr">
        <is>
          <t>Our total sales were $1.2 million last year, including Canada and candles; U.S. cosmetic sales averaged $800,000 over 3 years. Which figure counts for the small-business test?</t>
        </is>
      </c>
      <c r="C91" s="2" t="inlineStr">
        <is>
          <t>612(a) uses average gross annual sales in the United States of cosmetic products for the previous 3-year period, less than $1,000,000 adjusted for inflation. On these facts the relevant figure is the $800,000 U.S. cosmetic-sales average, not total sales. The person must also not manufacture or process 612(b) products. No determination is given.</t>
        </is>
      </c>
      <c r="D91" s="2" t="inlineStr">
        <is>
          <t>The retrieved evidence does not establish the amount asked for: none of the retrieved sources states one, so no amount is given. The regulation may address the topic in general terms without stating one, or the relevant text may not have been retrieved. Sources consulted: FD&amp;C Act § 613(a) [21 U.S.C. 364i(a)], FD&amp;C Act § 613(b) [21 U.S.C. 364i(b)], FD&amp;C Act § 604(3) [21 U.S.C. 364(3)].</t>
        </is>
      </c>
      <c r="E91" s="2" t="inlineStr">
        <is>
          <t>FAIL</t>
        </is>
      </c>
      <c r="F91" s="2" t="inlineStr">
        <is>
          <t>Declined ('no amount is given') and listed 613/604(3) as sources. It never identifies the $800,000 three-year average of U.S. cosmetic sales under 612(a) as the relevant figure, or the 612(b) condition.</t>
        </is>
      </c>
      <c r="G91" s="3" t="n">
        <v>16.3</v>
      </c>
      <c r="H91" s="4" t="n"/>
      <c r="I91" s="4" t="n"/>
      <c r="J91" s="2" t="inlineStr">
        <is>
          <t>mlx-community/Qwen3-4B-Instruct-2507-4bit (rev 50d42775)</t>
        </is>
      </c>
      <c r="K91" s="2" t="inlineStr">
        <is>
          <t>BAAI/bge-small-en-v1.5 (dense section candidates for promotion)</t>
        </is>
      </c>
      <c r="L91" s="2" t="inlineStr">
        <is>
          <t>SUCCESS</t>
        </is>
      </c>
      <c r="M91" s="2" t="inlineStr"/>
      <c r="N91" s="2" t="inlineStr">
        <is>
          <t>Key cites FD&amp;C Act (statute) only; the Regulus corpus holds eCFR and FDA guidance, no statute text. Evidence (3): FD&amp;C Act § 613(a) [21 U.S.C. 364i(a)] [supporting]; FD&amp;C Act § 613(b) [21 U.S.C. 364i(b)] [supporting]; FD&amp;C Act § 604(3) [21 U.S.C. 364(3)] [supporting]. Query type None; semantic fallback not invoked.</t>
        </is>
      </c>
      <c r="O91" s="2" t="n">
        <v>90</v>
      </c>
      <c r="P91" s="2" t="inlineStr">
        <is>
          <t>FDCA</t>
        </is>
      </c>
      <c r="Q91" s="2" t="inlineStr">
        <is>
          <t>Specific Requirement</t>
        </is>
      </c>
      <c r="R91" s="2" t="inlineStr">
        <is>
          <t>Intermediate</t>
        </is>
      </c>
      <c r="S91" s="2" t="inlineStr">
        <is>
          <t>FD&amp;C Act 612(a) [21 U.S.C. 364h(a)]</t>
        </is>
      </c>
      <c r="T91" s="2" t="n">
        <v>0</v>
      </c>
      <c r="U91" s="2" t="n">
        <v>0</v>
      </c>
      <c r="V91" s="2" t="n">
        <v>0</v>
      </c>
      <c r="W91" s="2" t="n">
        <v>0</v>
      </c>
      <c r="X91" s="2" t="n">
        <v>1</v>
      </c>
      <c r="Y91" s="2" t="inlineStr">
        <is>
          <t>Fallback: value not established</t>
        </is>
      </c>
      <c r="Z91" s="2" t="inlineStr">
        <is>
          <t>initial None -&gt; final None; fallback value_not_established</t>
        </is>
      </c>
      <c r="AA91" s="2" t="inlineStr"/>
      <c r="AB91" s="2" t="n"/>
      <c r="AC91" s="2" t="n"/>
      <c r="AD91" s="2" t="n"/>
      <c r="AE91" s="3" t="n"/>
      <c r="AF91" s="3" t="n"/>
      <c r="AG91" s="3" t="n"/>
      <c r="AH91" s="3" t="n"/>
      <c r="AI91" s="2" t="inlineStr">
        <is>
          <t>input tokens not reported (model not called); output tokens not reported (model not called)</t>
        </is>
      </c>
    </row>
    <row r="92">
      <c r="A92" s="2" t="inlineStr">
        <is>
          <t>COS-FDCA614-Q1</t>
        </is>
      </c>
      <c r="B92" s="2" t="inlineStr">
        <is>
          <t>A state wants cosmetic facilities to register with it under its own rules. Can it impose registration requirements different from federal ones?</t>
        </is>
      </c>
      <c r="C92" s="2" t="inlineStr">
        <is>
          <t>614(a): no State or political subdivision may establish or continue in effect any law, regulation, order, or other requirement for cosmetics that is different from, in addition to, or otherwise not identical with the Act's requirements on registration and product listing, good manufacturing practice, records, recalls, adverse event reporting, or safety substantiation. Registration is within that list. No legal opinion on a specific state law is given.</t>
        </is>
      </c>
      <c r="D92" s="2" t="inlineStr">
        <is>
          <t>A state cannot impose registration requirements for cosmetic facilities that differ from or are in addition to federal requirements applicable under the FD&amp;C Act, as such actions would violate the preemption provisions established in section 614(a). Specifically, no State or political subdivision may establish or continue any law, regulation, order, or other requirement for cosmetics that is different from or in addition to, or otherwise not identical with, any federal requirement regarding registration and product listing. This includes requirements related to registration of cosmetic facilities [1].
The FD&amp;C Act § 614(a) [21 U.S.C. 364j(a)] prohibits states from imposing registration requirements different from federal ones [1].  
The available regulatory sources do not provide enough information to answer whether a state may impose other types of non-registration requirements (e.g., inspection, licensing, or fees), as the question specifically concerns registration and only the provision on registration is directly relevant. The text does not address non-registration requirements beyond what is stated in § 614(a).</t>
        </is>
      </c>
      <c r="E92" s="2" t="inlineStr">
        <is>
          <t>PASS</t>
        </is>
      </c>
      <c r="F92" s="2" t="inlineStr">
        <is>
          <t>Correctly states that under 614(a) no State may establish or continue registration and product-listing requirements different from, in addition to, or not identical with federal ones, and applies this to facility registration without opining on a specific state law. The hedge about non-registration requirements does not misstate the rule.</t>
        </is>
      </c>
      <c r="G92" s="3" t="n">
        <v>26.2</v>
      </c>
      <c r="H92" s="4" t="n">
        <v>1431</v>
      </c>
      <c r="I92" s="4" t="n">
        <v>212</v>
      </c>
      <c r="J92" s="2" t="inlineStr">
        <is>
          <t>mlx-community/Qwen3-4B-Instruct-2507-4bit (rev 50d42775)</t>
        </is>
      </c>
      <c r="K92" s="2" t="inlineStr">
        <is>
          <t>BAAI/bge-small-en-v1.5 (dense section candidates for promotion)</t>
        </is>
      </c>
      <c r="L92" s="2" t="inlineStr">
        <is>
          <t>SUCCESS</t>
        </is>
      </c>
      <c r="M92" s="2" t="inlineStr"/>
      <c r="N92" s="2" t="inlineStr">
        <is>
          <t>Key cites FD&amp;C Act (statute) only; the Regulus corpus holds eCFR and FDA guidance, no statute text. Evidence (5): FD&amp;C Act § 614(a) [21 U.S.C. 364j(a)] [supporting]; FD&amp;C Act § 614(b) [21 U.S.C. 364j(b)] [supporting]; FD&amp;C Act § 614(c) [21 U.S.C. 364j(c)] [supporting]; FD&amp;C Act § 614(d) [21 U.S.C. 364j(d)] [supporting]; FD&amp;C Act § 604(1) [21 U.S.C. 364(1)] [supporting]. Query type None; semantic fallback not invoked.</t>
        </is>
      </c>
      <c r="O92" s="2" t="n">
        <v>91</v>
      </c>
      <c r="P92" s="2" t="inlineStr">
        <is>
          <t>FDCA</t>
        </is>
      </c>
      <c r="Q92" s="2" t="inlineStr">
        <is>
          <t>Applicability</t>
        </is>
      </c>
      <c r="R92" s="2" t="inlineStr">
        <is>
          <t>Advanced</t>
        </is>
      </c>
      <c r="S92" s="2" t="inlineStr">
        <is>
          <t>FD&amp;C Act 614(a) [21 U.S.C. 364j(a)]</t>
        </is>
      </c>
      <c r="T92" s="2" t="n">
        <v>1</v>
      </c>
      <c r="U92" s="2" t="n">
        <v>0</v>
      </c>
      <c r="V92" s="2" t="n">
        <v>2</v>
      </c>
      <c r="W92" s="2" t="n">
        <v>2</v>
      </c>
      <c r="X92" s="2" t="n">
        <v>1</v>
      </c>
      <c r="Y92" s="2" t="inlineStr">
        <is>
          <t>Generated answer</t>
        </is>
      </c>
      <c r="Z92" s="2" t="inlineStr">
        <is>
          <t>initial True -&gt; final True</t>
        </is>
      </c>
      <c r="AA92" s="2" t="inlineStr">
        <is>
          <t>[1] = FD&amp;C Act § 614(a) [21 U.S.C. 364j(a)]</t>
        </is>
      </c>
      <c r="AB92" s="2" t="n"/>
      <c r="AC92" s="2" t="n"/>
      <c r="AD92" s="2" t="n"/>
      <c r="AE92" s="3" t="n"/>
      <c r="AF92" s="3" t="n"/>
      <c r="AG92" s="3" t="n"/>
      <c r="AH92" s="3" t="n"/>
      <c r="AI92" s="2" t="inlineStr"/>
    </row>
    <row r="93">
      <c r="A93" s="2" t="inlineStr">
        <is>
          <t>UC-COS-024</t>
        </is>
      </c>
      <c r="B93" s="2" t="inlineStr">
        <is>
          <t>Our product contains beef tallow. What records must we keep to show the cattle material is acceptable, and must we hold lots in quarantine until verified?</t>
        </is>
      </c>
      <c r="C93" s="2" t="inlineStr">
        <is>
          <t>700.27(c): manufacturers/processors of cosmetics made from or containing cattle material must establish and maintain records sufficient to demonstrate the cosmetic is not made from prohibited cattle materials; retain 2 years after creation; keep at site or reasonably accessible location; available to FDA for inspection and copying; importers provide records within 5 days on request. No codified quarantine/hold requirement. Noncompliance adulterates (700.27(d), 601(c)).</t>
        </is>
      </c>
      <c r="D93" s="2" t="inlineStr">
        <is>
          <t>To show that beef tallow is acceptable for use in a cosmetic product, manufacturers must establish and maintain records sufficient to demonstrate that the tallow contains no more than 0.15 percent insoluble impurities as determined by AOCS Official Method Ca 3a-46 or an equivalent method, and that it is not derived from prohibited cattle materials. These records must be retained for 2 years after creation. When filing entry with U.S. Customs and Border Protection, the importer of record must affirm that the cosmetic was manufactured from, processed with, or otherwise contains cattle material and was manufactured in accordance with this section, and if requested, must provide records within five days to demonstrate the absence of prohibited cattle materials. The evidence does not contain any requirement to hold lots in quarantine until verified.
21 CFR 700.27(a)(6) requires tallow to be produced from tissues that are not prohibited cattle materials or must contain no more than 0.15 percent insoluble impurities as determined by AOCS Official Method Ca 3a-46 or an equivalent method [8].  
21 CFR 700.27(c)(1) requires manufacturers and processors of a cosmetic that is manufactured from, processed with, or otherwise contains material from cattle to establish and maintain records sufficient to demonstrate that the cosmetic is not manufactured from, processed with, or does not otherwise contain prohibited cattle materials [14].  
21 CFR 700.27(c)(2) requires that such records must be retained for 2 years after the date they were created [15].  
21 CFR 700.27(c)(6) requires, when filing entry with U.S. Customs and Border Protection, that the importer of record affirm that the cosmetic was manufactured from, processed with, or otherwise contains cattle material and was manufactured in accordance with this section, and if requested, must provide records within five days to demonstrate the absence of prohibited cattle materials [17].
Evidence limit: not all of the retrieved text of 21 CFR 700.27 fit in the evidence supplied for this answer (7 paragraphs left out). The answer above does not cover that text; consult the full provisions.</t>
        </is>
      </c>
      <c r="E93" s="2" t="inlineStr">
        <is>
          <t>PARTIALLY FAIL</t>
        </is>
      </c>
      <c r="F93" s="2" t="inlineStr">
        <is>
          <t>Correctly covers 700.27(c)(1) records, 2-year retention, the importer's 5-day production of records, and the absence of any quarantine requirement. But the summary says records must show the tallow is under 0.15% insoluble impurities AND from non-prohibited tissue, when (a)(6) says OR. It also omits the record-location and FDA inspection-and-copying requirements in (c), and the 700.27(d)/601(c) adulteration consequence.</t>
        </is>
      </c>
      <c r="G93" s="3" t="n">
        <v>72.5</v>
      </c>
      <c r="H93" s="4" t="n">
        <v>3506</v>
      </c>
      <c r="I93" s="4" t="n">
        <v>410</v>
      </c>
      <c r="J93" s="2" t="inlineStr">
        <is>
          <t>mlx-community/Qwen3-4B-Instruct-2507-4bit (rev 50d42775)</t>
        </is>
      </c>
      <c r="K93" s="2" t="inlineStr">
        <is>
          <t>BAAI/bge-small-en-v1.5 (dense section candidates for promotion)</t>
        </is>
      </c>
      <c r="L93" s="2" t="inlineStr">
        <is>
          <t>SUCCESS</t>
        </is>
      </c>
      <c r="M93" s="2" t="inlineStr"/>
      <c r="N93" s="2" t="inlineStr">
        <is>
          <t>Expected CFR section(s) 700.27: all in evidence; cited in answer: 700.27. Evidence (17): 21 CFR 700.27(a) [exact]; 21 CFR 700.27(a)(1) [exact]; 21 CFR 700.27(a)(1)(i) [exact]; 21 CFR 700.27(a)(1)(ii) [exact]; 21 CFR 700.27(a)(3) [exact]; 21 CFR 700.27(a)(4) [exact]; 21 CFR 700.27(a)(5) [exact]; 21 CFR 700.27(a)(6) [exact]; 21 CFR 700.27(a)(7) [exact]; 21 CFR 700.27(b) [exact]; 21 CFR 700.27(b)(1) [exact]; 21 CFR 700.27(b)(2) [exact]; 21 CFR 700.27(c) [exact]; 21 CFR 700.27(c)(1) [exact]; 21 CFR 700.27(c)(2) [exact]; 21 CFR 700.27(c)(4) [exact]; 21 CFR 700.27(c)(6) [exact]. Query type None; semantic fallback not invoked.</t>
        </is>
      </c>
      <c r="O93" s="2" t="n">
        <v>92</v>
      </c>
      <c r="P93" s="2" t="inlineStr"/>
      <c r="Q93" s="2" t="inlineStr">
        <is>
          <t>Records/Evidence</t>
        </is>
      </c>
      <c r="R93" s="2" t="inlineStr">
        <is>
          <t>Advanced</t>
        </is>
      </c>
      <c r="S93" s="2" t="inlineStr">
        <is>
          <t>21 CFR 700.27(c)–(d)</t>
        </is>
      </c>
      <c r="T93" s="2" t="n">
        <v>1</v>
      </c>
      <c r="U93" s="2" t="n">
        <v>0</v>
      </c>
      <c r="V93" s="2" t="n">
        <v>1</v>
      </c>
      <c r="W93" s="2" t="n">
        <v>1</v>
      </c>
      <c r="X93" s="2" t="n">
        <v>1</v>
      </c>
      <c r="Y93" s="2" t="inlineStr">
        <is>
          <t>Generated answer</t>
        </is>
      </c>
      <c r="Z93" s="2" t="inlineStr">
        <is>
          <t>initial True -&gt; final True</t>
        </is>
      </c>
      <c r="AA93" s="2" t="inlineStr">
        <is>
          <t>[8] = 21 CFR 700.27(a)(6); [14] = 21 CFR 700.27(c)(1); [15] = 21 CFR 700.27(c)(2); [17] = 21 CFR 700.27(c)(6)</t>
        </is>
      </c>
      <c r="AB93" s="2" t="n"/>
      <c r="AC93" s="2" t="n"/>
      <c r="AD93" s="2" t="n"/>
      <c r="AE93" s="3" t="n"/>
      <c r="AF93" s="3" t="n"/>
      <c r="AG93" s="3" t="n"/>
      <c r="AH93" s="3" t="n"/>
      <c r="AI93" s="2" t="inlineStr"/>
    </row>
    <row r="94">
      <c r="A94" s="2" t="inlineStr">
        <is>
          <t>UC-COS-002</t>
        </is>
      </c>
      <c r="B94" s="2" t="inlineStr">
        <is>
          <t>An FDA investigator asked our contract manufacturer for personnel records. Can FDA demand our employees' training and qualification files, and under what conditions?</t>
        </is>
      </c>
      <c r="C94" s="2" t="inlineStr">
        <is>
          <t>Under 610, if FDA reasonably believes a product/ingredient is likely adulterated so as to present a threat of serious adverse health consequences or death, responsible persons and facilities must permit access to related records on credentials and written notice. Personnel data is excluded, except data on qualifications of technical and professional personnel performing functions under the Act. No codified training-record retention rule exists.</t>
        </is>
      </c>
      <c r="D94" s="2" t="inlineStr">
        <is>
          <t>The generated answer could not be validated against the retrieved regulatory evidence, so it is not shown. The retrieved sources were not verified to answer the question as asked, so their text is not quoted as an answer. Sources consulted: 21 CFR 80.39(a), 21 CFR 80.39(b), 21 CFR 80.39(b)(1), 21 CFR 80.39(b)(2), 21 CFR 80.39(c).</t>
        </is>
      </c>
      <c r="E94" s="2" t="inlineStr">
        <is>
          <t>FAIL</t>
        </is>
      </c>
      <c r="F94" s="2" t="inlineStr">
        <is>
          <t>Answer withheld; no substantive response. Misses 610 records access (SAHCOD belief, credentials and written notice), the personnel-data exclusion with its exception for technical and professional qualifications, and 704.</t>
        </is>
      </c>
      <c r="G94" s="3" t="n">
        <v>48.8</v>
      </c>
      <c r="H94" s="4" t="n">
        <v>1235</v>
      </c>
      <c r="I94" s="4" t="n">
        <v>474</v>
      </c>
      <c r="J94" s="2" t="inlineStr">
        <is>
          <t>mlx-community/Qwen3-4B-Instruct-2507-4bit (rev 50d42775)</t>
        </is>
      </c>
      <c r="K94" s="2" t="inlineStr">
        <is>
          <t>BAAI/bge-small-en-v1.5 (dense section candidates for promotion)</t>
        </is>
      </c>
      <c r="L94" s="2" t="inlineStr">
        <is>
          <t>SUCCESS</t>
        </is>
      </c>
      <c r="M94" s="2" t="inlineStr"/>
      <c r="N94" s="2" t="inlineStr">
        <is>
          <t>Key cites FD&amp;C Act (statute) only; the Regulus corpus holds eCFR and FDA guidance, no statute text. Evidence (5): 21 CFR 80.39(a) [exact]; 21 CFR 80.39(b) [exact]; 21 CFR 80.39(b)(1) [exact]; 21 CFR 80.39(b)(2) [exact]; 21 CFR 80.39(c) [exact]. Query type None; semantic fallback not invoked.</t>
        </is>
      </c>
      <c r="O94" s="2" t="n">
        <v>93</v>
      </c>
      <c r="P94" s="2" t="inlineStr"/>
      <c r="Q94" s="2" t="inlineStr">
        <is>
          <t>Specific Requirement</t>
        </is>
      </c>
      <c r="R94" s="2" t="inlineStr">
        <is>
          <t>Intermediate</t>
        </is>
      </c>
      <c r="S94" s="2" t="inlineStr">
        <is>
          <t>FD&amp;C Act 610 (21 U.S.C. 364f)(a); 704 (21 U.S.C. 374) inspection</t>
        </is>
      </c>
      <c r="T94" s="2" t="n">
        <v>0</v>
      </c>
      <c r="U94" s="2" t="n">
        <v>0</v>
      </c>
      <c r="V94" s="2" t="n">
        <v>0</v>
      </c>
      <c r="W94" s="2" t="n">
        <v>0</v>
      </c>
      <c r="X94" s="2" t="n">
        <v>1</v>
      </c>
      <c r="Y94" s="2" t="inlineStr">
        <is>
          <t>Withheld by validator (no answer shown)</t>
        </is>
      </c>
      <c r="Z94" s="2" t="inlineStr">
        <is>
          <t>initial False [unsupported_claim] -&gt; final False; repair applied; fallback unvalidated_answer_withheld</t>
        </is>
      </c>
      <c r="AA94" s="2" t="inlineStr"/>
      <c r="AB94" s="2" t="n"/>
      <c r="AC94" s="2" t="n"/>
      <c r="AD94" s="2" t="n"/>
      <c r="AE94" s="3" t="n"/>
      <c r="AF94" s="3" t="n"/>
      <c r="AG94" s="3" t="n"/>
      <c r="AH94" s="3" t="n"/>
      <c r="AI94" s="2" t="inlineStr"/>
    </row>
    <row r="95">
      <c r="A95" s="2" t="inlineStr">
        <is>
          <t>UC-COS-004</t>
        </is>
      </c>
      <c r="B95" s="2" t="inlineStr">
        <is>
          <t>Do our mixers, homogenizers and filling machines for lotions need to be FDA 'certified' before we use them?</t>
        </is>
      </c>
      <c r="C95" s="2" t="inlineStr">
        <is>
          <t>Must say no FDA equipment certification, qualification or calibration requirement for cosmetics is codified in Title 21; 606 GMP rule not yet issued. FDA does not certify equipment. What applies: product must not be prepared under insanitary conditions (601(c)) or contain deleterious substances (601(a)); equipment cleanliness supports this. No compliance guarantee.</t>
        </is>
      </c>
      <c r="D95" s="2" t="inlineStr">
        <is>
          <t>No, your mixers, homogenizers, and filling machines for lotions do not need to be FDA "certified" before use. The available regulatory sources do not provide enough information to answer this question regarding the certification of equipment for lotion production.</t>
        </is>
      </c>
      <c r="E95" s="2" t="inlineStr">
        <is>
          <t>PARTIALLY FAIL</t>
        </is>
      </c>
      <c r="F95" s="2" t="inlineStr">
        <is>
          <t>Correctly says no FDA certification is needed, but gives no citation and then contradicts itself by declining. Omits that 606 GMP rules have not been issued, that FDA does not certify equipment, and the 601(c)/601(a) insanitary-conditions and deleterious-substance duties.</t>
        </is>
      </c>
      <c r="G95" s="3" t="n">
        <v>33.8</v>
      </c>
      <c r="H95" s="4" t="n">
        <v>1800</v>
      </c>
      <c r="I95" s="4" t="n">
        <v>52</v>
      </c>
      <c r="J95" s="2" t="inlineStr">
        <is>
          <t>mlx-community/Qwen3-4B-Instruct-2507-4bit (rev 50d42775)</t>
        </is>
      </c>
      <c r="K95" s="2" t="inlineStr">
        <is>
          <t>BAAI/bge-small-en-v1.5 (dense section candidates for promotion)</t>
        </is>
      </c>
      <c r="L95" s="2" t="inlineStr">
        <is>
          <t>SUCCESS</t>
        </is>
      </c>
      <c r="M95" s="2" t="inlineStr"/>
      <c r="N95" s="2" t="inlineStr">
        <is>
          <t>Key cites FD&amp;C Act (statute) only; the Regulus corpus holds eCFR and FDA guidance, no statute text. Evidence (3): FDA Guidance: Marketing Clearance of Diagnostic Ultrasound Systems and Transducers : Guidance for Industry and [discovery]; FDA Guidance: Media Fills for Validation of Aseptic Preparations for Positron Emission Tomography (final, 2012 [discovery]; 21 CFR 349.78(d)(1) [discovery]. Query type None; semantic fallback not invoked.</t>
        </is>
      </c>
      <c r="O95" s="2" t="n">
        <v>94</v>
      </c>
      <c r="P95" s="2" t="inlineStr"/>
      <c r="Q95" s="2" t="inlineStr">
        <is>
          <t>Applicability</t>
        </is>
      </c>
      <c r="R95" s="2" t="inlineStr">
        <is>
          <t>Basic</t>
        </is>
      </c>
      <c r="S95" s="2" t="inlineStr">
        <is>
          <t>FD&amp;C Act 606 (21 U.S.C. 364b) — no regulation; 601(c) (21 U.S.C. 361(c)); 21 CFR Parts 700–740</t>
        </is>
      </c>
      <c r="T95" s="2" t="n">
        <v>0</v>
      </c>
      <c r="U95" s="2" t="n">
        <v>0</v>
      </c>
      <c r="V95" s="2" t="n">
        <v>1</v>
      </c>
      <c r="W95" s="2" t="n">
        <v>0</v>
      </c>
      <c r="X95" s="2" t="n">
        <v>1</v>
      </c>
      <c r="Y95" s="2" t="inlineStr">
        <is>
          <t>Generated answer</t>
        </is>
      </c>
      <c r="Z95" s="2" t="inlineStr">
        <is>
          <t>initial True -&gt; final True</t>
        </is>
      </c>
      <c r="AA95" s="2" t="inlineStr"/>
      <c r="AB95" s="2" t="n"/>
      <c r="AC95" s="2" t="n"/>
      <c r="AD95" s="2" t="n"/>
      <c r="AE95" s="3" t="n"/>
      <c r="AF95" s="3" t="n"/>
      <c r="AG95" s="3" t="n"/>
      <c r="AH95" s="3" t="n"/>
      <c r="AI95" s="2" t="inlineStr"/>
    </row>
    <row r="96">
      <c r="A96" s="2" t="inlineStr">
        <is>
          <t>UC-COS-005</t>
        </is>
      </c>
      <c r="B96" s="2" t="inlineStr">
        <is>
          <t>We're a contract filler. How often must we calibrate our scales and pH meters for cosmetic batches, and what calibration records does FDA require?</t>
        </is>
      </c>
      <c r="C96" s="2" t="inlineStr">
        <is>
          <t>Correct answer: no codified calibration frequency or calibration-record requirement exists for cosmetics. 606 directs FDA to issue GMP regulations (deadline: proposed within 2 yrs, final within 3 yrs of Dec 29, 2022) but none has been proposed or finalized as of Oct 2026. Calibration is a voluntary/contractual practice; must not invent a frequency.</t>
        </is>
      </c>
      <c r="D96" s="2" t="inlineStr">
        <is>
          <t>The available regulatory sources do not provide enough information to answer this question regarding calibration frequency for scales and pH meters in cosmetic batch manufacturing or the specific calibration records required by FDA for such activities.</t>
        </is>
      </c>
      <c r="E96" s="2" t="inlineStr">
        <is>
          <t>FAIL</t>
        </is>
      </c>
      <c r="F96" s="2" t="inlineStr">
        <is>
          <t>Plain decline with no citation. It does not say the regulation is silent on calibration frequency and records, and does not mention 606 GMP status as the key requires.</t>
        </is>
      </c>
      <c r="G96" s="3" t="n">
        <v>33.6</v>
      </c>
      <c r="H96" s="4" t="n">
        <v>1764</v>
      </c>
      <c r="I96" s="4" t="n">
        <v>38</v>
      </c>
      <c r="J96" s="2" t="inlineStr">
        <is>
          <t>mlx-community/Qwen3-4B-Instruct-2507-4bit (rev 50d42775)</t>
        </is>
      </c>
      <c r="K96" s="2" t="inlineStr">
        <is>
          <t>BAAI/bge-small-en-v1.5 (dense section candidates for promotion)</t>
        </is>
      </c>
      <c r="L96" s="2" t="inlineStr">
        <is>
          <t>SUCCESS</t>
        </is>
      </c>
      <c r="M96" s="2" t="inlineStr"/>
      <c r="N96" s="2" t="inlineStr">
        <is>
          <t>Key cites FD&amp;C Act (statute) only; the Regulus corpus holds eCFR and FDA guidance, no statute text. Evidence (3): FDA Guidance: Contract Manufacturing Arrangements for Drugs: Quality Agreements Guidance for Industry: Guidanc [discovery]; FDA Guidance: CVM GFI #285 - Manufacture of Batches in Support of Original NADAs, ANADAs, and CNADAs (draft, 2 [discovery]; 21 CFR 341.80(d)(2)(iv)(A)(2) [discovery]. Query type None; semantic fallback not invoked.</t>
        </is>
      </c>
      <c r="O96" s="2" t="n">
        <v>95</v>
      </c>
      <c r="P96" s="2" t="inlineStr"/>
      <c r="Q96" s="2" t="inlineStr">
        <is>
          <t>Specific Requirement</t>
        </is>
      </c>
      <c r="R96" s="2" t="inlineStr">
        <is>
          <t>Intermediate</t>
        </is>
      </c>
      <c r="S96" s="2" t="inlineStr">
        <is>
          <t>21 CFR Parts 700–740 (no calibration provision); FD&amp;C Act 606 (21 U.S.C. 364b)</t>
        </is>
      </c>
      <c r="T96" s="2" t="n">
        <v>0</v>
      </c>
      <c r="U96" s="2" t="n">
        <v>0</v>
      </c>
      <c r="V96" s="2" t="n">
        <v>0</v>
      </c>
      <c r="W96" s="2" t="n">
        <v>0</v>
      </c>
      <c r="X96" s="2" t="n">
        <v>1</v>
      </c>
      <c r="Y96" s="2" t="inlineStr">
        <is>
          <t>Generated answer</t>
        </is>
      </c>
      <c r="Z96" s="2" t="inlineStr">
        <is>
          <t>initial True -&gt; final True</t>
        </is>
      </c>
      <c r="AA96" s="2" t="inlineStr"/>
      <c r="AB96" s="2" t="n"/>
      <c r="AC96" s="2" t="n"/>
      <c r="AD96" s="2" t="n"/>
      <c r="AE96" s="3" t="n"/>
      <c r="AF96" s="3" t="n"/>
      <c r="AG96" s="3" t="n"/>
      <c r="AH96" s="3" t="n"/>
      <c r="AI96" s="2" t="inlineStr"/>
    </row>
    <row r="97">
      <c r="A97" s="2" t="inlineStr">
        <is>
          <t>UC-COS-008</t>
        </is>
      </c>
      <c r="B97" s="2" t="inlineStr">
        <is>
          <t>Does FDA require us to keep written cleaning SOPs and daily sanitation logs for our cosmetic production room? How long must we keep them?</t>
        </is>
      </c>
      <c r="C97" s="2" t="inlineStr">
        <is>
          <t>Correct answer: Title 21 has no codified requirement for written cleaning SOPs or sanitation logs for cosmetics, and no retention period; 606 GMP regulations not yet proposed/final. Documentation is a practical way to show conditions are not insanitary under 601(c) but is not a codified obligation. Must not cite a retention period.</t>
        </is>
      </c>
      <c r="D97" s="2" t="inlineStr">
        <is>
          <t>The generated answer could not be validated against the retrieved regulatory evidence, so it is not shown. The retrieved sources were not verified to answer the question as asked, so their text is not quoted as an answer. Sources consulted: FD&amp;C Act § 606(a) [21 U.S.C. 364b(a)], FD&amp;C Act § 606(b) [21 U.S.C. 364b(b)], FD&amp;C Act § 606(c) [21 U.S.C. 364b(c)].</t>
        </is>
      </c>
      <c r="E97" s="2" t="inlineStr">
        <is>
          <t>FAIL</t>
        </is>
      </c>
      <c r="F97" s="2" t="inlineStr">
        <is>
          <t>Answer withheld; no substantive response. Misses that no SOP, sanitation-log or retention requirement is codified, that 606 rules are not issued, and that 601(c) applies.</t>
        </is>
      </c>
      <c r="G97" s="3" t="n">
        <v>42.6</v>
      </c>
      <c r="H97" s="4" t="n">
        <v>1253</v>
      </c>
      <c r="I97" s="4" t="n">
        <v>393</v>
      </c>
      <c r="J97" s="2" t="inlineStr">
        <is>
          <t>mlx-community/Qwen3-4B-Instruct-2507-4bit (rev 50d42775)</t>
        </is>
      </c>
      <c r="K97" s="2" t="inlineStr">
        <is>
          <t>BAAI/bge-small-en-v1.5 (dense section candidates for promotion)</t>
        </is>
      </c>
      <c r="L97" s="2" t="inlineStr">
        <is>
          <t>SUCCESS</t>
        </is>
      </c>
      <c r="M97" s="2" t="inlineStr"/>
      <c r="N97" s="2" t="inlineStr">
        <is>
          <t>Key cites FD&amp;C Act (statute) only; the Regulus corpus holds eCFR and FDA guidance, no statute text. Evidence (3): FD&amp;C Act § 606(a) [21 U.S.C. 364b(a)] [supporting]; FD&amp;C Act § 606(b) [21 U.S.C. 364b(b)] [supporting]; FD&amp;C Act § 606(c) [21 U.S.C. 364b(c)] [supporting]. Query type None; semantic fallback not invoked.</t>
        </is>
      </c>
      <c r="O97" s="2" t="n">
        <v>96</v>
      </c>
      <c r="P97" s="2" t="inlineStr"/>
      <c r="Q97" s="2" t="inlineStr">
        <is>
          <t>Records/Evidence</t>
        </is>
      </c>
      <c r="R97" s="2" t="inlineStr">
        <is>
          <t>Intermediate</t>
        </is>
      </c>
      <c r="S97" s="2" t="inlineStr">
        <is>
          <t>21 CFR Parts 700–740 (no sanitation record provision); FD&amp;C Act 601(c); 606</t>
        </is>
      </c>
      <c r="T97" s="2" t="n">
        <v>0</v>
      </c>
      <c r="U97" s="2" t="n">
        <v>0</v>
      </c>
      <c r="V97" s="2" t="n">
        <v>0</v>
      </c>
      <c r="W97" s="2" t="n">
        <v>0</v>
      </c>
      <c r="X97" s="2" t="n">
        <v>1</v>
      </c>
      <c r="Y97" s="2" t="inlineStr">
        <is>
          <t>Withheld by validator (no answer shown)</t>
        </is>
      </c>
      <c r="Z97" s="2" t="inlineStr">
        <is>
          <t>initial False [unsupported_claim, unsupported_figure] -&gt; final True; repair applied; fallback unvalidated_answer_withheld</t>
        </is>
      </c>
      <c r="AA97" s="2" t="inlineStr"/>
      <c r="AB97" s="2" t="n"/>
      <c r="AC97" s="2" t="n"/>
      <c r="AD97" s="2" t="n"/>
      <c r="AE97" s="3" t="n"/>
      <c r="AF97" s="3" t="n"/>
      <c r="AG97" s="3" t="n"/>
      <c r="AH97" s="3" t="n"/>
      <c r="AI97" s="2" t="inlineStr"/>
    </row>
    <row r="98">
      <c r="A98" s="2" t="inlineStr">
        <is>
          <t>UC-COS-010</t>
        </is>
      </c>
      <c r="B98" s="2" t="inlineStr">
        <is>
          <t>Do we legally need a licensed pest-control contractor for our small cosmetics plant?</t>
        </is>
      </c>
      <c r="C98" s="2" t="inlineStr">
        <is>
          <t>Correct answer: no codified Title 21 requirement for a pest-control contractor or program for cosmetics. What applies: 601(c) insanitary conditions (contamination with filth) and 601(b) filthy substance; pest activity can render product adulterated. 606 GMP rule not proposed/final as of Oct 2026. State/local licensing outside Title 21 not addressed. No compliance guarantee.</t>
        </is>
      </c>
      <c r="D98"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Labeling of Plant-Based Milk Alternatives and Voluntary Nutrient Statements (draft, 2023-02-10, Docket FDA-2023-D-0451), FDA Guidance: Draft Guidance for Industry: Labeling of Plant-Based Alternatives to Animal-Derived Foods (draft, 2025-01-06, Docket FDA-2022-D-1102), 21 CFR 511.1(f)(1), 21 CFR 511.1(g).</t>
        </is>
      </c>
      <c r="E98" s="2" t="inlineStr">
        <is>
          <t>FAIL</t>
        </is>
      </c>
      <c r="F98" s="2" t="inlineStr">
        <is>
          <t>Answer withheld; the sources consulted were irrelevant (plant-based food guidance, 21 CFR 511.1). Misses that no pest-control requirement is codified, the 601(b)-(c) adulteration provisions, and 606 status.</t>
        </is>
      </c>
      <c r="G98" s="3" t="n">
        <v>30.7</v>
      </c>
      <c r="H98" s="4" t="n">
        <v>1524</v>
      </c>
      <c r="I98" s="4" t="n">
        <v>57</v>
      </c>
      <c r="J98" s="2" t="inlineStr">
        <is>
          <t>mlx-community/Qwen3-4B-Instruct-2507-4bit (rev 50d42775)</t>
        </is>
      </c>
      <c r="K98" s="2" t="inlineStr">
        <is>
          <t>BAAI/bge-small-en-v1.5 (dense section candidates for promotion)</t>
        </is>
      </c>
      <c r="L98" s="2" t="inlineStr">
        <is>
          <t>SUCCESS</t>
        </is>
      </c>
      <c r="M98" s="2" t="inlineStr"/>
      <c r="N98" s="2" t="inlineStr">
        <is>
          <t>Key cites FD&amp;C Act (statute) only; the Regulus corpus holds eCFR and FDA guidance, no statute text. Evidence (4): FDA Guidance: Draft Guidance for Industry: Labeling of Plant-Based Milk Alternatives and Voluntary Nutrient St [discovery]; FDA Guidance: Draft Guidance for Industry: Labeling of Plant-Based Alternatives to Animal-Derived Foods (draft [discovery]; 21 CFR 511.1(f)(1) [discovery]; 21 CFR 511.1(g) [discovery]. Query type None; semantic fallback not invoked.</t>
        </is>
      </c>
      <c r="O98" s="2" t="n">
        <v>97</v>
      </c>
      <c r="P98" s="2" t="inlineStr"/>
      <c r="Q98" s="2" t="inlineStr">
        <is>
          <t>Applicability</t>
        </is>
      </c>
      <c r="R98" s="2" t="inlineStr">
        <is>
          <t>Basic</t>
        </is>
      </c>
      <c r="S98" s="2" t="inlineStr">
        <is>
          <t>21 CFR Parts 700–740 (no pest-control provision); FD&amp;C Act 601(b)–(c); 606</t>
        </is>
      </c>
      <c r="T98" s="2" t="n">
        <v>0</v>
      </c>
      <c r="U98" s="2" t="n">
        <v>0</v>
      </c>
      <c r="V98" s="2" t="n">
        <v>0</v>
      </c>
      <c r="W98" s="2" t="n">
        <v>0</v>
      </c>
      <c r="X98" s="2" t="n">
        <v>1</v>
      </c>
      <c r="Y98" s="2" t="inlineStr">
        <is>
          <t>Withheld by validator (no answer shown)</t>
        </is>
      </c>
      <c r="Z98" s="2" t="inlineStr">
        <is>
          <t>initial False [unsupported_claim] -&gt; final True; repair applied; fallback unvalidated_answer_withheld</t>
        </is>
      </c>
      <c r="AA98" s="2" t="inlineStr"/>
      <c r="AB98" s="2" t="n"/>
      <c r="AC98" s="2" t="n"/>
      <c r="AD98" s="2" t="n"/>
      <c r="AE98" s="3" t="n"/>
      <c r="AF98" s="3" t="n"/>
      <c r="AG98" s="3" t="n"/>
      <c r="AH98" s="3" t="n"/>
      <c r="AI98" s="2" t="inlineStr"/>
    </row>
    <row r="99">
      <c r="A99" s="2" t="inlineStr">
        <is>
          <t>UC-COS-012</t>
        </is>
      </c>
      <c r="B99" s="2" t="inlineStr">
        <is>
          <t>What pest-control records (trap maps, service reports, pesticide logs) does FDA require a cosmetics contract manufacturer to keep, and for how long?</t>
        </is>
      </c>
      <c r="C99" s="2" t="inlineStr">
        <is>
          <t>Correct answer: none codified; no retention period. No 606 GMP regulation proposed/final as of Oct 2026. Such records are voluntary evidence against 601(c) insanitary-conditions findings. Under 610, FDA may access records related to the product when it reasonably believes adulteration presents threat of SAHCOD. Must not invent a requirement.</t>
        </is>
      </c>
      <c r="D99" s="2" t="inlineStr">
        <is>
          <t>FDA does not require a cosmetics contract manufacturer to keep pest-control records such as trap maps, service reports, or pesticide logs under 21 CFR 700.27.
The available regulatory sources do not provide enough information to answer this.  
[1] (Note: The provided evidence focuses exclusively on prohibited cattle materials, recordkeeping related to cattle material usage, and retention of records for compliance with the use of such materials. There is no mention of pest-control records, trap maps, service reports, or pesticide logs in any part of 21 CFR 700.27.)
Evidence limit: not all of the retrieved text of 21 CFR 700.27 fit in the evidence supplied for this answer (6 paragraphs left out). The answer above does not cover that text; consult the full provisions.</t>
        </is>
      </c>
      <c r="E99" s="2" t="inlineStr">
        <is>
          <t>PARTIALLY FAIL</t>
        </is>
      </c>
      <c r="F99" s="2" t="inlineStr">
        <is>
          <t>Says no pest-control records are required, but grounds this only in 21 CFR 700.27 (cattle materials), an irrelevant section, and then declines. Omits 606 GMP status, the absence of a retention period, the 601(c) context and 610 records access.</t>
        </is>
      </c>
      <c r="G99" s="3" t="n">
        <v>30.9</v>
      </c>
      <c r="H99" s="4" t="n">
        <v>3035</v>
      </c>
      <c r="I99" s="4" t="n">
        <v>123</v>
      </c>
      <c r="J99" s="2" t="inlineStr">
        <is>
          <t>mlx-community/Qwen3-4B-Instruct-2507-4bit (rev 50d42775)</t>
        </is>
      </c>
      <c r="K99" s="2" t="inlineStr">
        <is>
          <t>BAAI/bge-small-en-v1.5 (dense section candidates for promotion)</t>
        </is>
      </c>
      <c r="L99" s="2" t="inlineStr">
        <is>
          <t>SUCCESS</t>
        </is>
      </c>
      <c r="M99" s="2" t="inlineStr"/>
      <c r="N99" s="2" t="inlineStr">
        <is>
          <t>Key cites FD&amp;C Act (statute) only; the Regulus corpus holds eCFR and FDA guidance, no statute text. Evidence (18): 21 CFR 700.27(a) [exact]; 21 CFR 700.27(a)(1) [exact]; 21 CFR 700.27(a)(1)(i) [exact]; 21 CFR 700.27(a)(1)(ii) [exact]; 21 CFR 700.27(a)(2) [exact]; 21 CFR 700.27(a)(5) [exact]; 21 CFR 700.27(a)(6) [exact]; 21 CFR 700.27(b) [exact]; 21 CFR 700.27(b)(1) [exact]; 21 CFR 700.27(c) [exact]; 21 CFR 700.27(c)(1) [exact]; 21 CFR 700.27(c)(2) [exact]; 21 CFR 700.27(c)(3) [exact]; 21 CFR 700.27(c)(4) [exact]; 21 CFR 700.27(c)(5) [exact]; 21 CFR 700.27(c)(6) [exact]; 21 CFR 700.27(c)(7) [exact]; 21 CFR 700.27(d) [exact]. Query type None; semantic fallback not invoked.</t>
        </is>
      </c>
      <c r="O99" s="2" t="n">
        <v>98</v>
      </c>
      <c r="P99" s="2" t="inlineStr"/>
      <c r="Q99" s="2" t="inlineStr">
        <is>
          <t>Records/Evidence</t>
        </is>
      </c>
      <c r="R99" s="2" t="inlineStr">
        <is>
          <t>Advanced</t>
        </is>
      </c>
      <c r="S99" s="2" t="inlineStr">
        <is>
          <t>21 CFR Parts 700–740; FD&amp;C Act 606 (no regulation); 610 (21 U.S.C. 364f)</t>
        </is>
      </c>
      <c r="T99" s="2" t="n">
        <v>0</v>
      </c>
      <c r="U99" s="2" t="n">
        <v>0</v>
      </c>
      <c r="V99" s="2" t="n">
        <v>1</v>
      </c>
      <c r="W99" s="2" t="n">
        <v>0</v>
      </c>
      <c r="X99" s="2" t="n">
        <v>1</v>
      </c>
      <c r="Y99" s="2" t="inlineStr">
        <is>
          <t>Generated answer</t>
        </is>
      </c>
      <c r="Z99" s="2" t="inlineStr">
        <is>
          <t>initial True -&gt; final True</t>
        </is>
      </c>
      <c r="AA99" s="2" t="inlineStr">
        <is>
          <t>[1] = 21 CFR 700.27(a)</t>
        </is>
      </c>
      <c r="AB99" s="2" t="n"/>
      <c r="AC99" s="2" t="n"/>
      <c r="AD99" s="2" t="n"/>
      <c r="AE99" s="3" t="n"/>
      <c r="AF99" s="3" t="n"/>
      <c r="AG99" s="3" t="n"/>
      <c r="AH99" s="3" t="n"/>
      <c r="AI99" s="2" t="inlineStr"/>
    </row>
    <row r="100">
      <c r="A100" s="2" t="inlineStr">
        <is>
          <t>UC-COS-014</t>
        </is>
      </c>
      <c r="B100" s="2" t="inlineStr">
        <is>
          <t>We're a 3PL holding finished cosmetics for several indie brands. Do we have to register with FDA and monitor storage temperatures?</t>
        </is>
      </c>
      <c r="C100" s="2" t="inlineStr">
        <is>
          <t>Establishments that solely hold or distribute are excluded from 'facility', so 607 registration does not apply to the 3PL. No codified temperature-monitoring requirement. 601(c) still applies to products held under insanitary conditions. Temperature conditions are set contractually with brand owners. No compliance guarantee.</t>
        </is>
      </c>
      <c r="D100" s="2" t="inlineStr">
        <is>
          <t>The generated answer could not be validated against the retrieved regulatory evidence, so it is not shown. The retrieved sources were not verified to answer the question as asked, so their text is not quoted as an answer. Sources consulted: 21 CFR 710.9, 21 CFR 710.9(a), 21 CFR 710.9(b), 21 CFR 710.9(c), 21 CFR 700.3(b).</t>
        </is>
      </c>
      <c r="E100" s="2" t="inlineStr">
        <is>
          <t>FAIL</t>
        </is>
      </c>
      <c r="F100" s="2" t="inlineStr">
        <is>
          <t>Withheld; no substantive answer. Key requires the 604 'facility' exclusion for hold/distribute-only establishments (so no 607 registration), no codified temperature monitoring, and 601(c), and none appears.</t>
        </is>
      </c>
      <c r="G100" s="3" t="n">
        <v>49.3</v>
      </c>
      <c r="H100" s="4" t="n">
        <v>1234</v>
      </c>
      <c r="I100" s="4" t="n">
        <v>382</v>
      </c>
      <c r="J100" s="2" t="inlineStr">
        <is>
          <t>mlx-community/Qwen3-4B-Instruct-2507-4bit (rev 50d42775)</t>
        </is>
      </c>
      <c r="K100" s="2" t="inlineStr">
        <is>
          <t>BAAI/bge-small-en-v1.5 (dense section candidates for promotion)</t>
        </is>
      </c>
      <c r="L100" s="2" t="inlineStr">
        <is>
          <t>SUCCESS</t>
        </is>
      </c>
      <c r="M100" s="2" t="inlineStr"/>
      <c r="N100" s="2" t="inlineStr">
        <is>
          <t>Key cites FD&amp;C Act (statute) only; the Regulus corpus holds eCFR and FDA guidance, no statute text. Evidence (5): 21 CFR 710.9 [exact]; 21 CFR 710.9(a) [exact]; 21 CFR 710.9(b) [exact]; 21 CFR 710.9(c) [exact]; 21 CFR 700.3(b) [exact]. Query type None; semantic fallback not invoked.</t>
        </is>
      </c>
      <c r="O100" s="2" t="n">
        <v>99</v>
      </c>
      <c r="P100" s="2" t="inlineStr"/>
      <c r="Q100" s="2" t="inlineStr">
        <is>
          <t>How to Comply</t>
        </is>
      </c>
      <c r="R100" s="2" t="inlineStr">
        <is>
          <t>Intermediate</t>
        </is>
      </c>
      <c r="S100" s="2" t="inlineStr">
        <is>
          <t>FD&amp;C Act 604 (21 U.S.C. 364) facility definition; 607 (21 U.S.C. 364c); 601(c)</t>
        </is>
      </c>
      <c r="T100" s="2" t="n">
        <v>0</v>
      </c>
      <c r="U100" s="2" t="n">
        <v>0</v>
      </c>
      <c r="V100" s="2" t="n">
        <v>0</v>
      </c>
      <c r="W100" s="2" t="n">
        <v>0</v>
      </c>
      <c r="X100" s="2" t="n">
        <v>1</v>
      </c>
      <c r="Y100" s="2" t="inlineStr">
        <is>
          <t>Withheld by validator (no answer shown)</t>
        </is>
      </c>
      <c r="Z100" s="2" t="inlineStr">
        <is>
          <t>initial False [invented_condition, unsupported_claim] -&gt; final True; repair applied; fallback unvalidated_answer_withheld</t>
        </is>
      </c>
      <c r="AA100" s="2" t="inlineStr"/>
      <c r="AB100" s="2" t="n"/>
      <c r="AC100" s="2" t="n"/>
      <c r="AD100" s="2" t="n"/>
      <c r="AE100" s="3" t="n"/>
      <c r="AF100" s="3" t="n"/>
      <c r="AG100" s="3" t="n"/>
      <c r="AH100" s="3" t="n"/>
      <c r="AI100" s="2" t="inlineStr"/>
    </row>
    <row r="101">
      <c r="A101" s="2" t="inlineStr">
        <is>
          <t>UC-COS-018</t>
        </is>
      </c>
      <c r="B101" s="2" t="inlineStr">
        <is>
          <t>What complaint/adverse-event records must our indie brand keep, for how long, and does FDA require a written complaint-handling SOP and investigation of every complaint?</t>
        </is>
      </c>
      <c r="C101" s="2" t="inlineStr">
        <is>
          <t>Must state: records related to each adverse event report kept 6 years; 3 years for small businesses (&lt;$1,000,000, inflation-adjusted, average gross annual U.S. sales over prior 3 years) not making 612(b) products; FDA access during 704 inspection. Label must carry domestic address, phone or electronic contact for AE reports. No codified written complaint SOP or mandatory investigation of every non-AE complaint for cosmetics.</t>
        </is>
      </c>
      <c r="D101" s="2" t="inlineStr">
        <is>
          <t>The available regulatory sources do not address requirements for maintaining records of consumer complaints or adverse events, retention periods for such records, a written complaint-handling SOP, or mandatory investigation of every complaint for an indie brand under 21 CFR 71.15.
Adverse reaction reports, product experience reports, and consumer complaints are considered confidential data in color additive petitions and may be redacted to remove names and any information that would identify the person using the product or a third party involved with the report [4](i), [4](ii).  
No retention period is specified for these records in 21 CFR 71.15.  
There is no requirement under 21 CFR 71.15 for an indie brand to maintain a written complaint-handling SOP or to investigate every complaint.  
[4]
The retrieved evidence does not establish the time period or frequency asked for.</t>
        </is>
      </c>
      <c r="E101" s="2" t="inlineStr">
        <is>
          <t>FAIL</t>
        </is>
      </c>
      <c r="F101" s="2" t="inlineStr">
        <is>
          <t>Relies on 21 CFR 71.15 (color additive petition confidentiality), which does not govern the question, and says no retention period is specified. That would mislead the user: it omits the 605(e) 6-year AE record retention (3 years for qualifying small businesses), FDA access, and the 609(a) label contact requirement.</t>
        </is>
      </c>
      <c r="G101" s="3" t="n">
        <v>54.4</v>
      </c>
      <c r="H101" s="4" t="n">
        <v>2866</v>
      </c>
      <c r="I101" s="4" t="n">
        <v>170</v>
      </c>
      <c r="J101" s="2" t="inlineStr">
        <is>
          <t>mlx-community/Qwen3-4B-Instruct-2507-4bit (rev 50d42775)</t>
        </is>
      </c>
      <c r="K101" s="2" t="inlineStr">
        <is>
          <t>BAAI/bge-small-en-v1.5 (dense section candidates for promotion)</t>
        </is>
      </c>
      <c r="L101" s="2" t="inlineStr">
        <is>
          <t>SUCCESS</t>
        </is>
      </c>
      <c r="M101" s="2" t="inlineStr"/>
      <c r="N101" s="2" t="inlineStr">
        <is>
          <t>Key cites FD&amp;C Act (statute) only; the Regulus corpus holds eCFR and FDA guidance, no statute text. Evidence (15): 21 CFR 71.15(a) [exact]; 21 CFR 71.15(a)(1) [exact]; 21 CFR 71.15(a)(2) [exact]; 21 CFR 71.15(a)(3) [exact]; 21 CFR 71.15(a)(3)(i) [exact]; 21 CFR 71.15(a)(3)(ii) [exact]; 21 CFR 71.15(a)(4) [exact]; 21 CFR 71.15(a)(5) [exact]; 21 CFR 71.15(a)(6) [exact]; 21 CFR 71.15(b) [exact]; 21 CFR 71.15(b)(1) [exact]; 21 CFR 71.15(b)(2) [exact]; 21 CFR 71.15(b)(3) [exact]; 21 CFR 71.15(c) [exact]; 21 CFR 71.15(d) [exact]. Query type None; semantic fallback not invoked.</t>
        </is>
      </c>
      <c r="O101" s="2" t="n">
        <v>100</v>
      </c>
      <c r="P101" s="2" t="inlineStr"/>
      <c r="Q101" s="2" t="inlineStr">
        <is>
          <t>Records/Evidence</t>
        </is>
      </c>
      <c r="R101" s="2" t="inlineStr">
        <is>
          <t>Advanced</t>
        </is>
      </c>
      <c r="S101" s="2" t="inlineStr">
        <is>
          <t>FD&amp;C Act 605(e)(1)–(2) (21 U.S.C. 364a); 612 (21 U.S.C. 364h); 609(a) (21 U.S.C. 364e)</t>
        </is>
      </c>
      <c r="T101" s="2" t="n">
        <v>0</v>
      </c>
      <c r="U101" s="2" t="n">
        <v>0</v>
      </c>
      <c r="V101" s="2" t="n">
        <v>0</v>
      </c>
      <c r="W101" s="2" t="n">
        <v>0</v>
      </c>
      <c r="X101" s="2" t="n">
        <v>1</v>
      </c>
      <c r="Y101" s="2" t="inlineStr">
        <is>
          <t>Generated answer</t>
        </is>
      </c>
      <c r="Z101" s="2" t="inlineStr">
        <is>
          <t>initial True -&gt; final True</t>
        </is>
      </c>
      <c r="AA101" s="2" t="inlineStr">
        <is>
          <t>[4] = 21 CFR 71.15(a)(3)</t>
        </is>
      </c>
      <c r="AB101" s="2" t="n"/>
      <c r="AC101" s="2" t="n"/>
      <c r="AD101" s="2" t="n"/>
      <c r="AE101" s="3" t="n"/>
      <c r="AF101" s="3" t="n"/>
      <c r="AG101" s="3" t="n"/>
      <c r="AH101" s="3" t="n"/>
      <c r="AI101" s="2" t="inlineStr"/>
    </row>
  </sheetData>
  <autoFilter ref="A1:AI101"/>
  <conditionalFormatting sqref="E2:E101">
    <cfRule type="expression" priority="1" dxfId="0" stopIfTrue="1">
      <formula>$E2="PASS"</formula>
    </cfRule>
    <cfRule type="expression" priority="2" dxfId="1" stopIfTrue="1">
      <formula>$E2="PARTIALLY PASS"</formula>
    </cfRule>
    <cfRule type="expression" priority="3" dxfId="2" stopIfTrue="1">
      <formula>$E2="PARTIALLY FAIL"</formula>
    </cfRule>
    <cfRule type="expression" priority="4" dxfId="3" stopIfTrue="1">
      <formula>$E2="FAIL"</formula>
    </cfRule>
    <cfRule type="expression" priority="5" dxfId="4" stopIfTrue="1">
      <formula>$E2="NOT EVALUATED"</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1"/>
  <sheetViews>
    <sheetView zoomScale="100" workbookViewId="0">
      <selection activeCell="A1" sqref="A1"/>
    </sheetView>
  </sheetViews>
  <sheetFormatPr baseColWidth="8" defaultRowHeight="15"/>
  <cols>
    <col width="2" customWidth="1" min="1" max="1"/>
    <col width="46" customWidth="1" min="2" max="2"/>
    <col width="22" customWidth="1" min="3" max="3"/>
    <col width="70" customWidth="1" min="4" max="4"/>
  </cols>
  <sheetData>
    <row r="1">
      <c r="B1" s="5" t="inlineStr">
        <is>
          <t>Regulus Cosmetics Benchmark — 100 main questions</t>
        </is>
      </c>
    </row>
    <row r="2">
      <c r="B2" s="6" t="inlineStr">
        <is>
          <t>Run holdout100_20261022 · 2026-10-22 15:56 → 17:00 IST (local) · model Qwen3-4B-Instruct-2507 (MLX 4-bit) · rubric scoring is AI-assisted against the bank's verified key (not SME-signed)</t>
        </is>
      </c>
    </row>
    <row r="4">
      <c r="B4" s="7" t="inlineStr">
        <is>
          <t>Benchmark overview</t>
        </is>
      </c>
      <c r="C4" s="7" t="n"/>
      <c r="D4" s="7" t="n"/>
    </row>
    <row r="5">
      <c r="B5" s="2" t="inlineStr">
        <is>
          <t>Question bank filename</t>
        </is>
      </c>
      <c r="C5" s="8" t="inlineStr">
        <is>
          <t>Regulus_QBank_Cosmetics_REV01.xlsx</t>
        </is>
      </c>
      <c r="D5" s="9" t="inlineStr">
        <is>
          <t>Questions sheet only (main questions); follow-ups not used</t>
        </is>
      </c>
    </row>
    <row r="6">
      <c r="B6" s="2" t="inlineStr">
        <is>
          <t>Total questions selected</t>
        </is>
      </c>
      <c r="C6" s="10">
        <f>COUNTA('Question Results'!$A$2:$A$101)</f>
        <v/>
      </c>
      <c r="D6" s="9" t="inlineStr">
        <is>
          <t>rows on Question Results</t>
        </is>
      </c>
    </row>
    <row r="7">
      <c r="B7" s="2" t="inlineStr">
        <is>
          <t>Total questions attempted</t>
        </is>
      </c>
      <c r="C7" s="10">
        <f>COUNTA('Question Results'!$L$2:$L$101)-COUNTIF('Question Results'!$L$2:$L$101,"NOT RUN")</f>
        <v/>
      </c>
      <c r="D7" s="9" t="inlineStr">
        <is>
          <t>rows with an execution status other than NOT RUN</t>
        </is>
      </c>
    </row>
    <row r="8">
      <c r="B8" s="2" t="inlineStr">
        <is>
          <t>Total successfully generated answers</t>
        </is>
      </c>
      <c r="C8" s="10">
        <f>COUNTIF('Question Results'!$L$2:$L$101,"SUCCESS")</f>
        <v/>
      </c>
      <c r="D8" s="9" t="inlineStr">
        <is>
          <t>HTTP 200 with an answer field (includes answers the validator replaced with a withholding notice)</t>
        </is>
      </c>
    </row>
    <row r="9">
      <c r="B9" s="2" t="inlineStr">
        <is>
          <t xml:space="preserve">  of which withheld by the validator</t>
        </is>
      </c>
      <c r="C9" s="10">
        <f>COUNTIF('Question Results'!$Y$2:$Y$101,"Withheld*")</f>
        <v/>
      </c>
      <c r="D9" s="9" t="inlineStr">
        <is>
          <t>Delivered Answer Type = Withheld by validator</t>
        </is>
      </c>
    </row>
    <row r="10">
      <c r="B10" s="2" t="inlineStr">
        <is>
          <t xml:space="preserve">  of which another fallback/repair text</t>
        </is>
      </c>
      <c r="C10" s="10">
        <f>COUNTIF('Question Results'!$Y$2:$Y$101,"Fallback*")+COUNTIF('Question Results'!$Y$2:$Y$101,"Repair*")</f>
        <v/>
      </c>
      <c r="D10" s="9" t="inlineStr"/>
    </row>
    <row r="11">
      <c r="B11" s="2" t="inlineStr">
        <is>
          <t>Total execution errors</t>
        </is>
      </c>
      <c r="C11" s="10">
        <f>COUNTIF('Question Results'!$L$2:$L$101,"ERROR")</f>
        <v/>
      </c>
      <c r="D11" s="9" t="inlineStr"/>
    </row>
    <row r="12">
      <c r="B12" s="2" t="inlineStr">
        <is>
          <t>Total timeouts</t>
        </is>
      </c>
      <c r="C12" s="10">
        <f>COUNTIF('Question Results'!$L$2:$L$101,"TIMEOUT")</f>
        <v/>
      </c>
      <c r="D12" s="9" t="inlineStr">
        <is>
          <t>client timeout None s</t>
        </is>
      </c>
    </row>
    <row r="13">
      <c r="B13" s="2" t="inlineStr">
        <is>
          <t>Total evaluated questions</t>
        </is>
      </c>
      <c r="C13" s="10">
        <f>COUNTA('Question Results'!$E$2:$E$101)-COUNTIF('Question Results'!$E$2:$E$101,"NOT EVALUATED")</f>
        <v/>
      </c>
      <c r="D13" s="9" t="inlineStr">
        <is>
          <t>PASS + PARTIALLY PASS + PARTIALLY FAIL + FAIL</t>
        </is>
      </c>
    </row>
    <row r="14">
      <c r="B14" s="2" t="inlineStr">
        <is>
          <t>Questions not evaluated</t>
        </is>
      </c>
      <c r="C14" s="10">
        <f>COUNTIF('Question Results'!$E$2:$E$101,"NOT EVALUATED")</f>
        <v/>
      </c>
      <c r="D14" s="9" t="inlineStr"/>
    </row>
    <row r="15">
      <c r="B15" s="2" t="inlineStr">
        <is>
          <t>Benchmark execution (UTC)</t>
        </is>
      </c>
      <c r="C15" s="8" t="inlineStr">
        <is>
          <t>2026-10-22 15:56 → 17:00 IST (local)</t>
        </is>
      </c>
      <c r="D15" s="9" t="inlineStr">
        <is>
          <t>first question sent → last answer received</t>
        </is>
      </c>
    </row>
    <row r="16">
      <c r="B16" s="2" t="inlineStr">
        <is>
          <t>Benchmark run identifier</t>
        </is>
      </c>
      <c r="C16" s="8" t="inlineStr">
        <is>
          <t>holdout100_20261022</t>
        </is>
      </c>
      <c r="D16" s="9" t="inlineStr">
        <is>
          <t>artifacts/cosmetics_benchmark/&lt;run id&gt;/</t>
        </is>
      </c>
    </row>
    <row r="18">
      <c r="B18" s="7" t="inlineStr">
        <is>
          <t>Evaluation results (rubric vs verified key)</t>
        </is>
      </c>
      <c r="C18" s="7" t="n"/>
      <c r="D18" s="7" t="n"/>
    </row>
    <row r="19">
      <c r="A19" s="11" t="n"/>
      <c r="B19" s="1" t="inlineStr">
        <is>
          <t>Category</t>
        </is>
      </c>
      <c r="C19" s="1" t="inlineStr">
        <is>
          <t>Count</t>
        </is>
      </c>
      <c r="D19" s="1" t="inlineStr">
        <is>
          <t>Share of evaluated questions</t>
        </is>
      </c>
    </row>
    <row r="20">
      <c r="B20" s="12" t="inlineStr">
        <is>
          <t>PASS</t>
        </is>
      </c>
      <c r="C20" s="13">
        <f>COUNTIF('Question Results'!$E$2:$E$101,"PASS")</f>
        <v/>
      </c>
      <c r="D20" s="14">
        <f>IFERROR(C20/$C$13,"")</f>
        <v/>
      </c>
    </row>
    <row r="21">
      <c r="B21" s="15" t="inlineStr">
        <is>
          <t>PARTIALLY PASS</t>
        </is>
      </c>
      <c r="C21" s="13">
        <f>COUNTIF('Question Results'!$E$2:$E$101,"PARTIALLY PASS")</f>
        <v/>
      </c>
      <c r="D21" s="14">
        <f>IFERROR(C21/$C$13,"")</f>
        <v/>
      </c>
    </row>
    <row r="22">
      <c r="B22" s="16" t="inlineStr">
        <is>
          <t>PARTIALLY FAIL</t>
        </is>
      </c>
      <c r="C22" s="13">
        <f>COUNTIF('Question Results'!$E$2:$E$101,"PARTIALLY FAIL")</f>
        <v/>
      </c>
      <c r="D22" s="14">
        <f>IFERROR(C22/$C$13,"")</f>
        <v/>
      </c>
    </row>
    <row r="23">
      <c r="B23" s="17" t="inlineStr">
        <is>
          <t>FAIL</t>
        </is>
      </c>
      <c r="C23" s="13">
        <f>COUNTIF('Question Results'!$E$2:$E$101,"FAIL")</f>
        <v/>
      </c>
      <c r="D23" s="14">
        <f>IFERROR(C23/$C$13,"")</f>
        <v/>
      </c>
    </row>
    <row r="24">
      <c r="B24" s="18" t="inlineStr">
        <is>
          <t>NOT EVALUATED</t>
        </is>
      </c>
      <c r="C24" s="13">
        <f>COUNTIF('Question Results'!$E$2:$E$101,"NOT EVALUATED")</f>
        <v/>
      </c>
      <c r="D24" s="19" t="inlineStr">
        <is>
          <t>excluded from the evaluated denominator</t>
        </is>
      </c>
    </row>
    <row r="25">
      <c r="B25" s="20" t="inlineStr">
        <is>
          <t>TOTAL SELECTED</t>
        </is>
      </c>
      <c r="C25" s="20">
        <f>SUM(C20:C24)</f>
        <v/>
      </c>
      <c r="D25" s="21">
        <f>IF(C25=$C$6,"reconciles with questions selected","DOES NOT RECONCILE")</f>
        <v/>
      </c>
    </row>
    <row r="27">
      <c r="B27" s="7" t="inlineStr">
        <is>
          <t>Rates</t>
        </is>
      </c>
      <c r="C27" s="7" t="n"/>
      <c r="D27" s="7" t="n"/>
    </row>
    <row r="28">
      <c r="B28" s="22" t="inlineStr">
        <is>
          <t>Strict pass rate</t>
        </is>
      </c>
      <c r="C28" s="23">
        <f>IFERROR($C$20/$C$13,"")</f>
        <v/>
      </c>
      <c r="D28" s="9" t="inlineStr">
        <is>
          <t>PASS ÷ evaluated questions</t>
        </is>
      </c>
    </row>
    <row r="29">
      <c r="B29" s="22" t="inlineStr">
        <is>
          <t>Pass-or-partially-pass rate</t>
        </is>
      </c>
      <c r="C29" s="23">
        <f>IFERROR(($C$20+$C$21)/$C$13,"")</f>
        <v/>
      </c>
      <c r="D29" s="9" t="inlineStr">
        <is>
          <t>(PASS + PARTIALLY PASS) ÷ evaluated questions</t>
        </is>
      </c>
    </row>
    <row r="30">
      <c r="B30" s="2" t="inlineStr">
        <is>
          <t>Partial-failure rate</t>
        </is>
      </c>
      <c r="C30" s="24">
        <f>IFERROR($C$22/$C$13,"")</f>
        <v/>
      </c>
      <c r="D30" s="9" t="inlineStr">
        <is>
          <t>PARTIALLY FAIL ÷ evaluated questions</t>
        </is>
      </c>
    </row>
    <row r="31">
      <c r="B31" s="2" t="inlineStr">
        <is>
          <t>Failure rate</t>
        </is>
      </c>
      <c r="C31" s="24">
        <f>IFERROR($C$23/$C$13,"")</f>
        <v/>
      </c>
      <c r="D31" s="9" t="inlineStr">
        <is>
          <t>FAIL ÷ evaluated questions</t>
        </is>
      </c>
    </row>
    <row r="32">
      <c r="B32" s="2" t="inlineStr">
        <is>
          <t>Evaluation coverage</t>
        </is>
      </c>
      <c r="C32" s="24">
        <f>IFERROR($C$13/$C$6,"")</f>
        <v/>
      </c>
      <c r="D32" s="9" t="inlineStr">
        <is>
          <t>evaluated ÷ total selected</t>
        </is>
      </c>
    </row>
    <row r="33">
      <c r="B33" s="2" t="inlineStr">
        <is>
          <t>Execution success rate</t>
        </is>
      </c>
      <c r="C33" s="24">
        <f>IFERROR($C$8/$C$6,"")</f>
        <v/>
      </c>
      <c r="D33" s="9" t="inlineStr">
        <is>
          <t>successful answer generations ÷ total selected</t>
        </is>
      </c>
    </row>
    <row r="35">
      <c r="B35" s="7" t="inlineStr">
        <is>
          <t>Performance statistics (measured values only; blanks are not zeros)</t>
        </is>
      </c>
      <c r="C35" s="7" t="n"/>
      <c r="D35" s="7" t="n"/>
    </row>
    <row r="36">
      <c r="B36" s="2" t="inlineStr">
        <is>
          <t>Total benchmark duration — wall clock (s)</t>
        </is>
      </c>
      <c r="C36" s="25" t="n">
        <v>3833.511</v>
      </c>
      <c r="D36" s="9" t="inlineStr">
        <is>
          <t>first request sent → last response received (run_log.jsonl; excludes the warm-up)</t>
        </is>
      </c>
    </row>
    <row r="37">
      <c r="B37" s="2" t="inlineStr">
        <is>
          <t>Total benchmark duration — sum of question durations (s)</t>
        </is>
      </c>
      <c r="C37" s="25">
        <f>SUM('Question Results'!$G$2:$G$101)</f>
        <v/>
      </c>
      <c r="D37" s="9" t="inlineStr"/>
    </row>
    <row r="38">
      <c r="B38" s="22" t="inlineStr">
        <is>
          <t>Average question duration (s)</t>
        </is>
      </c>
      <c r="C38" s="26">
        <f>IFERROR(AVERAGE('Question Results'!$G$2:$G$101),"")</f>
        <v/>
      </c>
      <c r="D38" s="9" t="inlineStr"/>
    </row>
    <row r="39">
      <c r="B39" s="22" t="inlineStr">
        <is>
          <t>Median question duration (s)</t>
        </is>
      </c>
      <c r="C39" s="26">
        <f>IFERROR(MEDIAN('Question Results'!$G$2:$G$101),"")</f>
        <v/>
      </c>
      <c r="D39" s="9" t="inlineStr"/>
    </row>
    <row r="40">
      <c r="B40" s="2" t="inlineStr">
        <is>
          <t>Minimum question duration (s)</t>
        </is>
      </c>
      <c r="C40" s="27">
        <f>IFERROR(MIN('Question Results'!$G$2:$G$101),"")</f>
        <v/>
      </c>
      <c r="D40" s="9" t="inlineStr"/>
    </row>
    <row r="41">
      <c r="B41" s="2" t="inlineStr">
        <is>
          <t>Maximum question duration (s)</t>
        </is>
      </c>
      <c r="C41" s="27">
        <f>IFERROR(MAX('Question Results'!$G$2:$G$101),"")</f>
        <v/>
      </c>
      <c r="D41" s="9" t="inlineStr"/>
    </row>
    <row r="42">
      <c r="B42" s="2" t="inlineStr">
        <is>
          <t>Duration observations</t>
        </is>
      </c>
      <c r="C42" s="10">
        <f>COUNT('Question Results'!$G$2:$G$101)</f>
        <v/>
      </c>
      <c r="D42" s="9" t="inlineStr">
        <is>
          <t>questions with a measured duration</t>
        </is>
      </c>
    </row>
    <row r="43">
      <c r="B43" s="2" t="inlineStr">
        <is>
          <t>Average input tokens</t>
        </is>
      </c>
      <c r="C43" s="28">
        <f>IFERROR(AVERAGE('Question Results'!$H$2:$H$101),"")</f>
        <v/>
      </c>
      <c r="D43" s="9" t="inlineStr">
        <is>
          <t>final answer-generation call (one model call per question)</t>
        </is>
      </c>
    </row>
    <row r="44">
      <c r="B44" s="2" t="inlineStr">
        <is>
          <t>Average output tokens</t>
        </is>
      </c>
      <c r="C44" s="28">
        <f>IFERROR(AVERAGE('Question Results'!$I$2:$I$101),"")</f>
        <v/>
      </c>
      <c r="D44" s="9" t="inlineStr"/>
    </row>
    <row r="45">
      <c r="B45" s="2" t="inlineStr">
        <is>
          <t>Total input tokens</t>
        </is>
      </c>
      <c r="C45" s="29">
        <f>SUM('Question Results'!$H$2:$H$101)</f>
        <v/>
      </c>
      <c r="D45" s="9" t="inlineStr"/>
    </row>
    <row r="46">
      <c r="B46" s="2" t="inlineStr">
        <is>
          <t>Total output tokens</t>
        </is>
      </c>
      <c r="C46" s="29">
        <f>SUM('Question Results'!$I$2:$I$101)</f>
        <v/>
      </c>
      <c r="D46" s="9" t="inlineStr"/>
    </row>
    <row r="47">
      <c r="B47" s="2" t="inlineStr">
        <is>
          <t>Input-token observations</t>
        </is>
      </c>
      <c r="C47" s="10">
        <f>COUNT('Question Results'!$H$2:$H$101)</f>
        <v/>
      </c>
      <c r="D47" s="9" t="inlineStr"/>
    </row>
    <row r="48">
      <c r="B48" s="2" t="inlineStr">
        <is>
          <t>Output-token observations</t>
        </is>
      </c>
      <c r="C48" s="10">
        <f>COUNT('Question Results'!$I$2:$I$101)</f>
        <v/>
      </c>
      <c r="D48" s="9" t="inlineStr"/>
    </row>
    <row r="49">
      <c r="B49" s="2" t="inlineStr">
        <is>
          <t>Questions missing duration</t>
        </is>
      </c>
      <c r="C49" s="10">
        <f>$C$6-COUNT('Question Results'!$G$2:$G$101)</f>
        <v/>
      </c>
      <c r="D49" s="9" t="inlineStr"/>
    </row>
    <row r="50">
      <c r="B50" s="2" t="inlineStr">
        <is>
          <t>Questions missing input tokens</t>
        </is>
      </c>
      <c r="C50" s="10">
        <f>$C$6-COUNT('Question Results'!$H$2:$H$101)</f>
        <v/>
      </c>
      <c r="D50" s="9" t="inlineStr">
        <is>
          <t>model not called or no response</t>
        </is>
      </c>
    </row>
    <row r="51">
      <c r="B51" s="2" t="inlineStr">
        <is>
          <t>Questions missing output tokens</t>
        </is>
      </c>
      <c r="C51" s="10">
        <f>$C$6-COUNT('Question Results'!$I$2:$I$101)</f>
        <v/>
      </c>
      <c r="D51" s="9" t="inlineStr"/>
    </row>
    <row r="52">
      <c r="B52" s="2" t="inlineStr">
        <is>
          <t>Average pipeline time (s)</t>
        </is>
      </c>
      <c r="C52" s="27">
        <f>IFERROR(AVERAGE('Question Results'!$AE$2:$AE$101),"")</f>
        <v/>
      </c>
      <c r="D52" s="9" t="inlineStr">
        <is>
          <t>server: RagPipeline.answer only</t>
        </is>
      </c>
    </row>
    <row r="53">
      <c r="B53" s="2" t="inlineStr">
        <is>
          <t>Average retrieval time (s)</t>
        </is>
      </c>
      <c r="C53" s="27">
        <f>IFERROR(AVERAGE('Question Results'!$AF$2:$AF$101),"")</f>
        <v/>
      </c>
      <c r="D53" s="9" t="inlineStr">
        <is>
          <t>server timings_ms.retrieval_ms</t>
        </is>
      </c>
    </row>
    <row r="54">
      <c r="B54" s="2" t="inlineStr">
        <is>
          <t>Average generation time (s)</t>
        </is>
      </c>
      <c r="C54" s="27">
        <f>IFERROR(AVERAGE('Question Results'!$AG$2:$AG$101),"")</f>
        <v/>
      </c>
      <c r="D54" s="9" t="inlineStr">
        <is>
          <t>server timings_ms.generation_ms</t>
        </is>
      </c>
    </row>
    <row r="55">
      <c r="B55" s="2" t="inlineStr">
        <is>
          <t>Average live-evaluation time (s)</t>
        </is>
      </c>
      <c r="C55" s="27">
        <f>IFERROR(AVERAGE('Question Results'!$AH$2:$AH$101),"")</f>
        <v/>
      </c>
      <c r="D55" s="9" t="inlineStr">
        <is>
          <t>server accuracy_ms</t>
        </is>
      </c>
    </row>
    <row r="57">
      <c r="B57" s="7" t="inlineStr">
        <is>
          <t>Regulus live evaluator (recorded alongside; does not decide the category)</t>
        </is>
      </c>
      <c r="C57" s="7" t="n"/>
      <c r="D57" s="7" t="n"/>
    </row>
    <row r="58">
      <c r="B58" s="2" t="inlineStr">
        <is>
          <t>Live evaluator: PASS</t>
        </is>
      </c>
      <c r="C58" s="10">
        <f>COUNTIF('Question Results'!$AB$2:$AB$101,"PASS")</f>
        <v/>
      </c>
      <c r="D58" s="9" t="inlineStr"/>
    </row>
    <row r="59">
      <c r="B59" s="2" t="inlineStr">
        <is>
          <t>Live evaluator: FAIL</t>
        </is>
      </c>
      <c r="C59" s="10">
        <f>COUNTIF('Question Results'!$AB$2:$AB$101,"FAIL")</f>
        <v/>
      </c>
      <c r="D59" s="9" t="inlineStr"/>
    </row>
    <row r="60">
      <c r="B60" s="2" t="inlineStr">
        <is>
          <t>Live evaluator: NOT EVALUATED</t>
        </is>
      </c>
      <c r="C60" s="10">
        <f>COUNTIF('Question Results'!$AB$2:$AB$101,"NOT EVALUATED")</f>
        <v/>
      </c>
      <c r="D60" s="9" t="inlineStr"/>
    </row>
    <row r="61">
      <c r="B61" s="2" t="inlineStr">
        <is>
          <t>Live evaluator: NOT FULLY EVALUATED</t>
        </is>
      </c>
      <c r="C61" s="10">
        <f>COUNTIF('Question Results'!$AB$2:$AB$101,"NOT FULLY EVALUATED")</f>
        <v/>
      </c>
      <c r="D61" s="9" t="inlineStr"/>
    </row>
    <row r="63">
      <c r="B63" s="7" t="inlineStr">
        <is>
          <t>Model configuration</t>
        </is>
      </c>
      <c r="C63" s="7" t="n"/>
      <c r="D63" s="7" t="n"/>
    </row>
    <row r="64">
      <c r="B64" s="2" t="inlineStr">
        <is>
          <t>Base language model</t>
        </is>
      </c>
      <c r="C64" s="8" t="inlineStr">
        <is>
          <t>Qwen3-4B-Instruct-2507, MLX 4-bit (mlx-community/Qwen3-4B-Instruct-2507-4bit revision 50d427756c6b1b2fe0c0a10f67fbda1fc8e82c1b); no adapter; thinking off.</t>
        </is>
      </c>
      <c r="D64" s="9" t="inlineStr"/>
    </row>
    <row r="65">
      <c r="B65" s="2" t="inlineStr">
        <is>
          <t>Provider / runtime</t>
        </is>
      </c>
      <c r="C65" s="8" t="inlineStr">
        <is>
          <t>Local MLX worker on the Apple GPU through scripts/run_cosmetics_eval.py (the production RagPipeline without the web UI). No external API.</t>
        </is>
      </c>
      <c r="D65" s="9" t="inlineStr"/>
    </row>
    <row r="66">
      <c r="B66" s="2" t="inlineStr">
        <is>
          <t>Decoding</t>
        </is>
      </c>
      <c r="C66" s="8" t="inlineStr">
        <is>
          <t>Greedy; repetition penalty 1.1; the pipeline's adaptive token allowance.</t>
        </is>
      </c>
      <c r="D66" s="9" t="inlineStr"/>
    </row>
    <row r="67">
      <c r="B67" s="2" t="inlineStr">
        <is>
          <t>Retrieval / index</t>
        </is>
      </c>
      <c r="C67" s="8" t="inlineStr">
        <is>
          <t>Lexical PostgreSQL retrieval over the read-only database (eCFR snapshot 2026-09-03, 65,408 rows after the 22 Oct source-text repair) plus FDA guidance; section promotion with the LLM picker over lexical + dense candidates; FD&amp;C Act statute corpus (govinfo USCODE-2024, 528 paragraphs); deterministic color-listing composer; answer style apply.</t>
        </is>
      </c>
      <c r="D67" s="9" t="inlineStr"/>
    </row>
    <row r="68">
      <c r="B68" s="2" t="inlineStr">
        <is>
          <t>Deployment scope</t>
        </is>
      </c>
      <c r="C68" s="8" t="inlineStr">
        <is>
          <t>cosmetics</t>
        </is>
      </c>
      <c r="D68" s="9" t="inlineStr"/>
    </row>
    <row r="69">
      <c r="B69" s="2" t="inlineStr">
        <is>
          <t>Evaluator</t>
        </is>
      </c>
      <c r="C69" s="8" t="inlineStr">
        <is>
          <t>Question-bank rubric against the verified key, scored blind by two independent AI scorers (a plain and a skeptical lens) with a third adjudicating where they disagreed on PASS; the recorded verdict is the stricter scorer's. AI-assisted, not SME-signed. The Regulus live evaluator was not run in this offline runner (its columns are blank).</t>
        </is>
      </c>
      <c r="D69" s="9" t="inlineStr"/>
    </row>
    <row r="71">
      <c r="B71" s="6" t="inlineStr">
        <is>
          <t>Category definitions and the rubric-to-category mapping are on Run Metadata.</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64"/>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70" customWidth="1" min="3" max="3"/>
    <col width="15" customWidth="1" min="4" max="4"/>
    <col width="60" customWidth="1" min="5" max="5"/>
    <col width="60" customWidth="1" min="6" max="6"/>
    <col width="11" customWidth="1" min="7" max="7"/>
    <col width="10" customWidth="1" min="8" max="8"/>
    <col width="10" customWidth="1" min="9" max="9"/>
    <col width="55" customWidth="1" min="10" max="10"/>
    <col width="22" customWidth="1" min="11" max="11"/>
    <col width="10" customWidth="1" min="12" max="12"/>
  </cols>
  <sheetData>
    <row r="1" ht="32" customHeight="1">
      <c r="A1" s="1" t="inlineStr">
        <is>
          <t>Question ID</t>
        </is>
      </c>
      <c r="B1" s="1" t="inlineStr">
        <is>
          <t>Question</t>
        </is>
      </c>
      <c r="C1" s="1" t="inlineStr">
        <is>
          <t>Generated Answer</t>
        </is>
      </c>
      <c r="D1" s="1" t="inlineStr">
        <is>
          <t>Evaluation Status</t>
        </is>
      </c>
      <c r="E1" s="1" t="inlineStr">
        <is>
          <t>Evaluation Explanation</t>
        </is>
      </c>
      <c r="F1" s="1" t="inlineStr">
        <is>
          <t>Reference Answer</t>
        </is>
      </c>
      <c r="G1" s="1" t="inlineStr">
        <is>
          <t>Duration (seconds)</t>
        </is>
      </c>
      <c r="H1" s="1" t="inlineStr">
        <is>
          <t>Input Tokens</t>
        </is>
      </c>
      <c r="I1" s="1" t="inlineStr">
        <is>
          <t>Output Tokens</t>
        </is>
      </c>
      <c r="J1" s="1" t="inlineStr">
        <is>
          <t>Recommended Review Action</t>
        </is>
      </c>
      <c r="K1" s="1" t="inlineStr">
        <is>
          <t>Delivered Answer Type</t>
        </is>
      </c>
      <c r="L1" s="1" t="inlineStr">
        <is>
          <t>Part (Stratum)</t>
        </is>
      </c>
    </row>
    <row r="2">
      <c r="A2" s="2" t="inlineStr">
        <is>
          <t>COS-73.2110-Q1</t>
        </is>
      </c>
      <c r="B2" s="2" t="inlineStr">
        <is>
          <t>We make a progressive hair-color cream for men's gray hair using bismuth citrate. What are the use limits, warnings, and certification status?</t>
        </is>
      </c>
      <c r="C2" s="2" t="inlineStr">
        <is>
          <t>The use of bismuth citrate in a progressive hair-color cream for men's gray hair is permitted, limited to not more than 2.0 percent (w/v) of bismuth citrate in the cosmetic, and only for coloring hair on the scalp. The product may not be used on eyelashes, eyebrows, or body hair; it must not be applied to a cut or abraded scalp; and hands must be washed thoroughly after each use. The label must include the statement "Keep this product out of children's reach" and other warnings as specified. Certification for this color additive is exempt under the provisions of section 721(c) of the act, meaning no certification is required.
The amount of bismuth citrate in the cosmetic shall not be in excess of 2.0 percent (w/v) [5].  
The cosmetic may not be used for coloring eyelashes, eyebrows, or hair on parts of the body other than the scalp [6].  
The label of a cosmetic containing the color additive bismuth citrate shall bear, in addition to other information required by law, the following statement, conspicuously displayed thereon: "Keep this product out of children's reach. Do not use on cut or abraded scalp. Do not use to color eyelashes, eyebrows, or hair on parts of the body other than the scalp. Wash hands thoroughly after each use" [10].  
Certification of this color additive for the prescribed use is exempt from certification requirements under section 721(c) of the act [11].</t>
        </is>
      </c>
      <c r="D2" s="2" t="inlineStr">
        <is>
          <t>PARTIALLY PASS</t>
        </is>
      </c>
      <c r="E2" s="2" t="inlineStr">
        <is>
          <t>Correct on the 2.0% (w/v) cap, scalp-only use ((c)(1)-(2)), the full (d)(2) warning text and the (e) certification exemption. It leaves out (d)(1), the § 70.25 labeling requirement for the additive, which is a key element.</t>
        </is>
      </c>
      <c r="F2" s="2" t="inlineStr">
        <is>
          <t>73.2110(c): permitted in cosmetics for coloring hair on the scalp, (1) at not more than 2.0 percent (w/v), and (2) not for coloring eyelashes, eyebrows, or body hair other than the scalp. (d)(1): additive label meets § 70.25; (d)(2): cosmetic label bears a conspicuous warning beginning "Keep this product out of children's reach", covering cut/abraded scalp, eyelashes/eyebrows/body hair, and handwashing. (e): exempt from certification.</t>
        </is>
      </c>
      <c r="G2" s="3" t="n">
        <v>31.8</v>
      </c>
      <c r="H2" s="2" t="n">
        <v>1903</v>
      </c>
      <c r="I2" s="2" t="n">
        <v>325</v>
      </c>
      <c r="J2" s="2" t="inlineStr">
        <is>
          <t>Execution failure: inspect serve_ui.log and the measurement record for this question, then re-run it as a separately labelled attempt.</t>
        </is>
      </c>
      <c r="K2" s="2" t="inlineStr">
        <is>
          <t>Generated answer</t>
        </is>
      </c>
      <c r="L2" s="2" t="inlineStr">
        <is>
          <t>73</t>
        </is>
      </c>
    </row>
    <row r="3">
      <c r="A3" s="2" t="inlineStr">
        <is>
          <t>COS-80.34-Q1</t>
        </is>
      </c>
      <c r="B3" s="2" t="inlineStr">
        <is>
          <t>FDA suspended certification service to our company after a records audit. On what grounds can it do that, and what can we do?</t>
        </is>
      </c>
      <c r="C3" s="2" t="inlineStr">
        <is>
          <t>The FDA can suspend certification service to a company if it appears to the Commissioner that the person has: (1) obtained or attempted to obtain a certificate through fraud or misrepresentation of a material fact; (2) falsified records required to be kept under § 80.39; (3) failed to keep such records, make them available, or allow inventory checks as required by § 80.39; or (4) refused to permit duly authorized FDA employees free access to manufacturing facilities, processes, and formulae involved in the manufacture of color additives and intermediates from which such color additives are derived [1]. The grounds for suspension are specifically listed in 21 CFR 80.34(a)(1) through (a)(4), with each condition being a basis upon which the Commissioner may suspend certification service. A person who contests the suspension has an opportunity for a regulatory hearing before the FDA pursuant to part 16 of this chapter [6].
21 CFR 80.34(a)(1): The FDA can suspend certification service if it appears that a person obtained or attempted to obtain a certificate through fraud or misrepresentation of a material fact [2].  
21 CFR 80.34(a)(2): The FDA can suspend certification service if the person falsified the records required to be kept under § 80.39 [3].  
21 CFR 80.34(a)(3): The FDA can suspend certification service if the person failed to keep such records, make them available, or allow full opportunity for inventory checks as required by § 80.39 [4].  
21 CFR 80.34(a)(4): The FDA can suspend certification service if the person refused to permit duly authorized FDA employees free access to all manufacturing facilities, processes, and formulae involved in the manufacture of color additives and intermediates from which such color additives are derived [5].  
21 CFR 80.34(b): Any person who contests a suspension of service has an opportunity for a regulatory hearing before the FDA pursuant to part 16 of this chapter [6].</t>
        </is>
      </c>
      <c r="D3" s="2" t="inlineStr">
        <is>
          <t>PARTIALLY PASS</t>
        </is>
      </c>
      <c r="E3" s="2" t="inlineStr">
        <is>
          <t>All four 80.34(a)(1)-(4) grounds and the 80.34(b) part 16 hearing are stated correctly with correct citations. It omits that suspension can be immediate and lasts until adequate corrective action is taken, which is a key 'what can we do' element.</t>
        </is>
      </c>
      <c r="F3" s="2" t="inlineStr">
        <is>
          <t>§ 80.34(a): if the Commissioner believes a person obtained or attempted to obtain a certificate through fraud or material misrepresentation, falsified § 80.39 records, failed to keep, make available or permit inventory and checking of those records, or refused FDA free access to facilities, processes and formulae, he may immediately suspend service until adequate corrective action. § 80.34(b): request a part 16 regulatory hearing.</t>
        </is>
      </c>
      <c r="G3" s="3" t="n">
        <v>32.1</v>
      </c>
      <c r="H3" s="2" t="n">
        <v>1295</v>
      </c>
      <c r="I3" s="2" t="n">
        <v>444</v>
      </c>
      <c r="J3" s="2" t="inlineStr">
        <is>
          <t>Execution failure: inspect serve_ui.log and the measurement record for this question, then re-run it as a separately labelled attempt.</t>
        </is>
      </c>
      <c r="K3" s="2" t="inlineStr">
        <is>
          <t>Generated answer</t>
        </is>
      </c>
      <c r="L3" s="2" t="inlineStr">
        <is>
          <t>80</t>
        </is>
      </c>
    </row>
    <row r="4">
      <c r="A4" s="2" t="inlineStr">
        <is>
          <t>COS-81.10-Q1</t>
        </is>
      </c>
      <c r="B4" s="2" t="inlineStr">
        <is>
          <t>An old formula of ours uses FD&amp;C Red No. 4 in a lipstick and a body lotion. Is FD&amp;C Red No. 4 still usable?</t>
        </is>
      </c>
      <c r="C4" s="2" t="inlineStr">
        <is>
          <t>Lipstick: not permitted.
21 CFR 74.2304(b) states: "FD&amp;C Red No. 4 may be safely used for coloring externally applied cosmetics in amounts consistent with good manufacturing practice." [2].
21 CFR 70.3(v) states: "The terms externally applied drugs and externally applied cosmetics mean drugs or cosmetics applied only to external parts of the body and not to the lips or any body surface covered by mucous membrane." [6].
Body lotion: permitted.
Use limit: no percentage is stated; the amount is consistent with good manufacturing practice [2].
21 CFR 74.2304(a) states: "The color additive FD&amp;C Red No. 4 shall conform in identity and specifications to the requirements of § 74.1304(a)(1) and (b)." [1].
21 CFR 74.2304(c) states: "The label of the color additive shall conform to the requirements of § 70.25 of this chapter." [3].
21 CFR 74.2304(d) states: "All batches of FD&amp;C Red No. 4 shall be certified in accordance with regulations in part 80 of this chapter." [4].
21 CFR 82.304 states: "The color additive FD&amp;C Red No. 4 shall conform in identity and specifications to the requirements of § 74.1304(a)(1) and (b) of this chapter. FD&amp;C Red No. 4 is restricted to use in externally applied drugs and cosmetics." [5].
21 CFR 82.50 states: "A batch of a straight color listed in this subpart may be certified, in accordance with the provisions of the regulations in this part, for use in food, drugs, and cosmetics, if such batch conforms to the requirements of § 82.5 and to the specifications in this subpart set forth for such color." [7].</t>
        </is>
      </c>
      <c r="D4" s="2" t="inlineStr">
        <is>
          <t>PARTIALLY PASS</t>
        </is>
      </c>
      <c r="E4" s="2" t="inlineStr">
        <is>
          <t>Reaches the correct conclusions (lipstick not permitted per 70.3(v), body lotion permitted at GMP under 74.2304, 82.304 restricted to external use), and every citation given is correct. It never surfaces the primary key provision 81.10(d) or the termination of the provisional listing for food, ingested drugs and ingested cosmetics.</t>
        </is>
      </c>
      <c r="F4" s="2" t="inlineStr">
        <is>
          <t>§ 81.10(d): the provisional listing is terminated for food and ingested drugs, having already been terminated for ingested cosmetics. FD&amp;C Red No. 4 remains listed for externally applied drugs and cosmetics under §§ 74.1304 and 74.2304, so the body lotion can qualify; the lipstick cannot, because lips are not externally applied (§ 70.3(v)). § 82.304 is retained for lakes in external uses.</t>
        </is>
      </c>
      <c r="G4" s="3" t="n">
        <v>15.7</v>
      </c>
      <c r="H4" s="2" t="n"/>
      <c r="I4" s="2" t="n"/>
      <c r="J4" s="2" t="inlineStr">
        <is>
          <t>Execution failure: inspect serve_ui.log and the measurement record for this question, then re-run it as a separately labelled attempt.</t>
        </is>
      </c>
      <c r="K4" s="2" t="inlineStr">
        <is>
          <t>Fallback: composed_from_listing</t>
        </is>
      </c>
      <c r="L4" s="2" t="inlineStr">
        <is>
          <t>81</t>
        </is>
      </c>
    </row>
    <row r="5">
      <c r="A5" s="2" t="inlineStr">
        <is>
          <t>COS-700.23-Q1</t>
        </is>
      </c>
      <c r="B5" s="2" t="inlineStr">
        <is>
          <t>We want to launch an aerosol dry shampoo using a chlorofluorocarbon propellant (CFC-12). Can we?</t>
        </is>
      </c>
      <c r="C5" s="2" t="inlineStr">
        <is>
          <t>No, the use of chlorofluorocarbon (CFC-12) as a propellant in an aerosol dry shampoo is prohibited. The regulation specifically bans the use of chlorofluorocarbons in cosmetics as propellants in self-pressurized containers [1].
The use of chlorofluorocarbons in cosmetics as propellants in self-pressurized containers is prohibited as provided in § 2.125 of this chapter [1].</t>
        </is>
      </c>
      <c r="D5" s="2" t="inlineStr">
        <is>
          <t>PARTIALLY PASS</t>
        </is>
      </c>
      <c r="E5" s="2" t="inlineStr">
        <is>
          <t>The 'No' is correct and properly cited to 700.23. It never surfaces 2.125(b), (c) or (e), so the key's explanation is absent: a cosmetic aerosol is not an essential use unless listed in (e), and (e) lists none.</t>
        </is>
      </c>
      <c r="F5" s="2" t="inlineStr">
        <is>
          <t>No. § 700.23 prohibits use of chlorofluorocarbons in cosmetics as propellants in self-pressurized containers, as provided in § 2.125. Under § 2.125(b), a cosmetic in an aerosol or pressurized dispenser releasing an ozone-depleting substance is not an essential use under the Clean Air Act unless § 2.125(e) lists it, and (e) lists no cosmetic uses.</t>
        </is>
      </c>
      <c r="G5" s="3" t="n">
        <v>19.9</v>
      </c>
      <c r="H5" s="2" t="n">
        <v>830</v>
      </c>
      <c r="I5" s="2" t="n">
        <v>103</v>
      </c>
      <c r="J5" s="2" t="inlineStr">
        <is>
          <t>Execution failure: inspect serve_ui.log and the measurement record for this question, then re-run it as a separately labelled attempt.</t>
        </is>
      </c>
      <c r="K5" s="2" t="inlineStr">
        <is>
          <t>Generated answer</t>
        </is>
      </c>
      <c r="L5" s="2" t="inlineStr">
        <is>
          <t>700</t>
        </is>
      </c>
    </row>
    <row r="6">
      <c r="A6" s="2" t="inlineStr">
        <is>
          <t>COS-701.2-Q1</t>
        </is>
      </c>
      <c r="B6" s="2" t="inlineStr">
        <is>
          <t>Our required label information is printed in tiny light-gray type on silver foil on the jar bottom. Could FDA find it not prominent enough?</t>
        </is>
      </c>
      <c r="C6" s="2" t="inlineStr">
        <is>
          <t>Yes, FDA could find the required label information not prominent enough because the smallness or style of type in which such information appears—specifically, tiny light-gray type on silver foil at the jar bottom—would constitute an insufficiency of prominence due to insufficient background contrast and crowding with other written or graphic matter. This is addressed under 21 CFR 701.2(a)(6), which identifies smallness or style of type, insufficient background contrast, and obscuring designs as factors that may render required information not prominent enough [7].
21 CFR 701.2(a)(6) specifies that smallness or style of type in which such word, statement, or information appears, insufficient background contrast, obscuring designs or vignettes, or crowding with other written, printed, or graphic matter may result in a failure to meet the prominence and conspicuousness required by section 602(c) of the Act [7].</t>
        </is>
      </c>
      <c r="D6" s="2" t="inlineStr">
        <is>
          <t>PARTIALLY PASS</t>
        </is>
      </c>
      <c r="E6" s="2" t="inlineStr">
        <is>
          <t>Correct 'Yes', with 701.2(a)(6) properly applied to small type and poor background contrast. It omits 701.2(a)(1), failure to appear on the part of the label presented under customary conditions of purchase, which is the key element for printing on the jar bottom.</t>
        </is>
      </c>
      <c r="F6" s="2" t="inlineStr">
        <is>
          <t>Yes. § 701.2(a) lists reasons required information may lack the prominence and conspicuousness required by section 602(c), including (1) failure to appear on the part of the label presented under customary conditions of purchase, and (6) smallness or style of type, insufficient background contrast, obscuring designs or vignettes, or crowding with other matter.</t>
        </is>
      </c>
      <c r="G6" s="3" t="n">
        <v>27.1</v>
      </c>
      <c r="H6" s="2" t="n">
        <v>1893</v>
      </c>
      <c r="I6" s="2" t="n">
        <v>195</v>
      </c>
      <c r="J6" s="2" t="inlineStr">
        <is>
          <t>Execution failure: inspect serve_ui.log and the measurement record for this question, then re-run it as a separately labelled attempt.</t>
        </is>
      </c>
      <c r="K6" s="2" t="inlineStr">
        <is>
          <t>Generated answer</t>
        </is>
      </c>
      <c r="L6" s="2" t="inlineStr">
        <is>
          <t>701</t>
        </is>
      </c>
    </row>
    <row r="7">
      <c r="A7" s="2" t="inlineStr">
        <is>
          <t>COS-740.10-Q2</t>
        </is>
      </c>
      <c r="B7" s="2" t="inlineStr">
        <is>
          <t>A new study raises questions about an emollient we've used for 20 years, but it's not conclusive. Do we now have to add the 'safety not determined' warning?</t>
        </is>
      </c>
      <c r="C7" s="2" t="inlineStr">
        <is>
          <t>A new study raises questions about an emollient used for 20 years, but it is not conclusive. The warning "The safety of this product has not been determined" is not required if: (1) the safety of the ingredient or product had been adequately substantiated prior to development of the new information; (2) the new information does not demonstrate a hazard to human health; and (3) adequate studies are being conducted to determine expeditiously the safety of the ingredient or product. The warning is required only if these conditions do not apply [3].  
The safety of this product has not been determined [2].  
An ingredient or product having a history of use in or as a cosmetic may at any time have its safety brought into question by new information that in itself is not conclusive, and the warning required by paragraph (a) of this section is not required if: (1) the safety had been adequately substantiated prior to development of the new information; (2) the new information does not demonstrate a hazard to human health; and (3) adequate studies are being conducted to determine expeditiously the safety of the ingredient or product [3].</t>
        </is>
      </c>
      <c r="D7" s="2" t="inlineStr">
        <is>
          <t>PARTIALLY PASS</t>
        </is>
      </c>
      <c r="E7" s="2" t="inlineStr">
        <is>
          <t>Correctly states all three conjunctive 740.10(b) conditions under which the warning is not required, with correct (a) and (b) citations. It omits 740.10(c): this is not an exemption from the Act's adulteration provisions or any other requirement.</t>
        </is>
      </c>
      <c r="F7" s="2" t="inlineStr">
        <is>
          <t>Not if all three 740.10(b) conditions are met: (1) safety was adequately substantiated before the new information developed; (2) the new information does not demonstrate a hazard to human health; and (3) adequate studies are being conducted to determine safety expeditiously. Under (c), this is not an exemption from the Act's adulteration provisions or any other requirement.</t>
        </is>
      </c>
      <c r="G7" s="3" t="n">
        <v>44.8</v>
      </c>
      <c r="H7" s="2" t="n">
        <v>1924</v>
      </c>
      <c r="I7" s="2" t="n">
        <v>238</v>
      </c>
      <c r="J7" s="2" t="inlineStr">
        <is>
          <t>Execution failure: inspect serve_ui.log and the measurement record for this question, then re-run it as a separately labelled attempt.</t>
        </is>
      </c>
      <c r="K7" s="2" t="inlineStr">
        <is>
          <t>Generated answer</t>
        </is>
      </c>
      <c r="L7" s="2" t="inlineStr">
        <is>
          <t>740</t>
        </is>
      </c>
    </row>
    <row r="8">
      <c r="A8" s="2" t="inlineStr">
        <is>
          <t>COS-FDCA610-Q1</t>
        </is>
      </c>
      <c r="B8" s="2" t="inlineStr">
        <is>
          <t>FDA arrived with written notice, asking for records on a shampoo it believes is contaminated and dangerous. What must we provide?</t>
        </is>
      </c>
      <c r="C8" s="2" t="inlineStr">
        <is>
          <t>If the FDA delivers a written notice requesting records on a shampoo it believes is contaminated and dangerous, the responsible person and facility must permit an FDA officer or employee, upon presentation of appropriate credentials and a written notice, to have access to and copy all records relating to that cosmetic product and any other cosmetic product the Secretary reasonably believes is likely to be affected in a similar manner, provided such records are needed to assist the Secretary in determining whether the cosmetic product is adulterated and presents a threat of serious adverse health consequences or death to humans. Access must occur at reasonable times and within reasonable limits and in a reasonable manner. The request must be made by an officer or employee duly designated by the Secretary.
The provision requires access to and copying of all records relating to the cosmetic product and any other cosmetic product the Secretary reasonably believes is likely to be affected in a similar manner [1].  
Access is permitted only if the records are needed to assist the Secretary in determining whether the cosmetic product is adulterated and presents a threat of serious adverse health consequences or death to humans [1].  
The request must be made by an officer or employee duly designated by the Secretary, upon presentation of appropriate credentials and a written notice [1].  
Access occurs at reasonable times and within reasonable limits and in a reasonable manner [1].  
Records that are excluded include recipes or formulas for cosmetics, financial data, pricing data, personnel data (other than data as to qualification of technical and professional personnel performing functions subject to this chapter), research data (other than safety substantiation data for cosmetic products and their ingredients), and sales data (other than shipment data regarding sales) [1].  
The requirement does not extend to records related to a facility that solely performs labeling, relabeling, packaging, repackaging, holding, or distributing of cosmetic products if such activities are not part of the manufacturing or processing of a product for retail sale [1].</t>
        </is>
      </c>
      <c r="D8" s="2" t="inlineStr">
        <is>
          <t>PARTIALLY PASS</t>
        </is>
      </c>
      <c r="E8" s="2" t="inlineStr">
        <is>
          <t>Core obligation matches 610(a): credentials and written notice, reasonable times and manner, access to and copying of records on the product and similarly affected products needed for the adulteration and threat determination. However, the data-exclusion list (610(b)) and the 'solely labeling/holding/distributing facility' carve-out (604(3)(B)) are both cited to 610(a), the wrong paragraph.</t>
        </is>
      </c>
      <c r="F8" s="2" t="inlineStr">
        <is>
          <t>610(a): if the Secretary has a reasonable belief that a product or ingredient, and other products reasonably believed similarly affected, is likely adulterated and presents a threat of serious adverse health consequences or death, each responsible person and facility shall permit a designated officer or employee, on appropriate credentials and written notice, at reasonable times and in a reasonable manner, to access and copy related records needed for that determination.</t>
        </is>
      </c>
      <c r="G8" s="3" t="n">
        <v>62.9</v>
      </c>
      <c r="H8" s="2" t="n">
        <v>2408</v>
      </c>
      <c r="I8" s="2" t="n">
        <v>386</v>
      </c>
      <c r="J8" s="2" t="inlineStr">
        <is>
          <t>Execution failure: inspect serve_ui.log and the measurement record for this question, then re-run it as a separately labelled attempt.</t>
        </is>
      </c>
      <c r="K8" s="2" t="inlineStr">
        <is>
          <t>Generated answer</t>
        </is>
      </c>
      <c r="L8" s="2" t="inlineStr">
        <is>
          <t>FDCA</t>
        </is>
      </c>
    </row>
    <row r="9">
      <c r="A9" s="2" t="inlineStr">
        <is>
          <t>COS-FDCA610-Q2</t>
        </is>
      </c>
      <c r="B9" s="2" t="inlineStr">
        <is>
          <t>We're a contract filler; the brand owner is the responsible person. Do the 610 record-access duties apply to us?</t>
        </is>
      </c>
      <c r="C9" s="2" t="inlineStr">
        <is>
          <t>Yes, the 610 record-access duties apply to contract fillers when the brand owner is the responsible person, because § 610(a) applies to each responsible person and facility, and if the brand owner is listed on the label as the responsible person under § 604(4), then that person and any facility involved in manufacturing or processing cosmetics are subject to record access requirements [1].  
The record-access duties under FD&amp;C Act § 610(a) apply to each responsible person and facility when the Secretary has a reasonable belief that a cosmetic product is likely to be adulterated in a manner posing a threat of serious adverse health consequences or death [1].  
The record-access duties do not extend to recipes or formulas, financial data, pricing data, personnel data (other than data on qualification of technical and professional personnel), research data (except safety substantiation data for cosmetics and ingredients), or sales data (except shipment data regarding sales) [1].  
The record-access duty applies only if the Secretary has a reasonable belief that a cosmetic product is likely to be adulterated and poses a threat of serious adverse health consequences or death; otherwise, no access is required under § 610(a) [1].  
The record-access duty applies to any facility that manufactures or processes cosmetic products, including contract fillers engaged in such activities, as long as they are not excluded by § 604(3)(B), which excludes entities performing only labeling, relabeling, packaging, repackaging, holding, or distributing without manufacturing or processing [1].  
The record-access duty does not apply to a facility that solely performs one or more of the following: labeling, relabeling, packaging, repackaging, holding, or distributing—unless such activities are part of a larger process involving manufacture or processing of cosmetic products [1].  
These provisions do not require any specific retention period for records beyond what is necessary to assist the Secretary in determining adulteration [1].</t>
        </is>
      </c>
      <c r="D9" s="2" t="inlineStr">
        <is>
          <t>PARTIALLY PASS</t>
        </is>
      </c>
      <c r="E9" s="2" t="inlineStr">
        <is>
          <t>Correctly answers yes, conditioned on the Secretary's reasonable belief of adulteration posing a serious-harm threat, applying to 'each responsible person and facility'. It cites 610(a), 604(4) and 604(3)(B) correctly, and its exclusions are accurate. But it never says what the duty actually requires: letting a designated officer access and copy records relating to the product and to other similarly affected products, as needed to assist the Secretary. That key element matters for a contract filler that makes products for several brands, so this is not a PASS.</t>
        </is>
      </c>
      <c r="F9" s="2" t="inlineStr">
        <is>
          <t>Yes, when 610(a)'s conditions are met: 'each responsible person and facility' shall permit access to records relating to the product, and other similarly affected products, needed to assist the Secretary in determining whether the product is adulterated and presents a threat of serious adverse health consequences or death.</t>
        </is>
      </c>
      <c r="G9" s="3" t="n">
        <v>80.2</v>
      </c>
      <c r="H9" s="2" t="n">
        <v>3197</v>
      </c>
      <c r="I9" s="2" t="n">
        <v>411</v>
      </c>
      <c r="J9" s="2" t="inlineStr">
        <is>
          <t>Execution failure: inspect serve_ui.log and the measurement record for this question, then re-run it as a separately labelled attempt.</t>
        </is>
      </c>
      <c r="K9" s="2" t="inlineStr">
        <is>
          <t>Generated answer</t>
        </is>
      </c>
      <c r="L9" s="2" t="inlineStr">
        <is>
          <t>FDCA</t>
        </is>
      </c>
    </row>
    <row r="10">
      <c r="A10" s="2" t="inlineStr">
        <is>
          <t>COS-73.2087-Q1</t>
        </is>
      </c>
      <c r="B10" s="2" t="inlineStr">
        <is>
          <t>We're launching a blush colored with carmine. May we use it, and does carmine need to be declared on the label?</t>
        </is>
      </c>
      <c r="C10" s="2" t="inlineStr">
        <is>
          <t>Yes, carmine may be used in a blush product intended for use on the face, including areas near the eyes, as long as it is used in accordance with good manufacturing practices and does not violate any restrictions on use in the area of the eye. However, because the blush contains carmine and is intended for use in or near the area of the eye, labeling requirements apply. The use of carmine in a blush is permitted under 21 CFR 73.2087(b), which allows carmine to be safely used in cosmetics generally, including those intended for use in the area of the eye, provided good manufacturing practices are followed [2]. Additionally, because the product contains carmine and is not subject to the requirements of § 701.3, it must specifically declare the presence of carmine prominently and conspicuously at least once in the labeling, as required by 21 CFR 73.2087(c)(2) [5]. This requirement applies regardless of whether the product is intended for use on or near the eyes, since the term "area of the eye" includes the eyelids and surrounding skin [7].
21 CFR 70.3(s) defines the area of the eye as the region enclosed within the supra-orbital and infra-orbital ridges, including the eyebrow, skin below the eyebrow, eyelids, eyelashes, conjunctival sac, eyeball, and soft areolar tissue [7].
21 CFR 73.2087(a) requires that carmine conform in identity and specifications to the requirements of § 73.100(a)(2) and (b)(2) [1].
21 CFR 73.2087(b) permits the use of carmine in cosmetics generally, including those intended for use in the area of the eye, provided it is used in amounts consistent with good manufacturing practices [2].
21 CFR 73.2087(c) establishes labeling requirements for carmine-containing products [3].
21 CFR 73.2087(c)(1) requires that any color additive or mixture prepared therefrom intended solely or in part for coloring purposes shall bear labeling in accordance with the provisions of § 70.25 [4].
21 CFR 73.2087(c)(2) mandates that cosmetics containing carmine not subject to the requirements of § 701.3 must specifically declare the presence of carmine prominently and conspicuously at least once in the labeling, such as “Contains carmine as a color additive” [5].
21 CFR 73.2087(d) exempts batches of carmine from certification because certification is not necessary for public health protection [6].</t>
        </is>
      </c>
      <c r="D10" s="2" t="inlineStr">
        <is>
          <t>PARTIALLY FAIL</t>
        </is>
      </c>
      <c r="E10" s="2" t="inlineStr">
        <is>
          <t>Cites (a), (b), (c)(1), (c)(2), (d) and 70.3(s) correctly and covers every key element. But it misreads the labeling rule: it says labeling applies because the blush is used near the eye, then flatly states the user's blush is 'not subject to § 701.3'. That turns the (c)(2) condition into an unconditional claim, and a retail blush normally is subject to 701.3.</t>
        </is>
      </c>
      <c r="F10" s="2" t="inlineStr">
        <is>
          <t>Yes. 73.2087(b) lists carmine for coloring cosmetics generally, including cosmetics intended for use in the area of the eye, in amounts consistent with good manufacturing practices. It must conform to § 73.100(a)(2) and (b)(2) ((a)). (c)(1): the additive and its color mixtures carry § 70.25 labeling. (c)(2): cosmetics not subject to § 701.3 declare carmine prominently and conspicuously at least once (e.g., "Contains carmine as a color additive"). (d): certification-exempt.</t>
        </is>
      </c>
      <c r="G10" s="3" t="n">
        <v>38.7</v>
      </c>
      <c r="H10" s="2" t="n">
        <v>1533</v>
      </c>
      <c r="I10" s="2" t="n">
        <v>576</v>
      </c>
      <c r="J10" s="2" t="inlineStr">
        <is>
          <t>Execution failure: inspect serve_ui.log and the measurement record for this question, then re-run it as a separately labelled attempt.</t>
        </is>
      </c>
      <c r="K10" s="2" t="inlineStr">
        <is>
          <t>Generated answer</t>
        </is>
      </c>
      <c r="L10" s="2" t="inlineStr">
        <is>
          <t>73</t>
        </is>
      </c>
    </row>
    <row r="11">
      <c r="A11" s="2" t="inlineStr">
        <is>
          <t>COS-73.2329-Q1</t>
        </is>
      </c>
      <c r="B11" s="2" t="inlineStr">
        <is>
          <t>We're developing a pearlescent nail polish and want to use guanine as the colorant. May we, and what restrictions, certification or labeling apply?</t>
        </is>
      </c>
      <c r="C11" s="2" t="inlineStr">
        <is>
          <t>Yes, guanine may be used as a colorant in pearlescent nail polish, provided that the product is externally applied and contains diluents only as specified in §73.1001(b) and nitrocellulose for externally applied cosmetics [5]. The use of guanine is permitted in cosmetics generally, including externally applied products such as nail polish, with no specific amount or concentration limits beyond good manufacturing practice. Guanine may be used in mixtures that contain diluents only if those diluents are listed under §73.1001(b) and nitrocellulose for external use [5]. The provisions do not specify any restriction on the amount of guanine, but its use is limited to formulations where diluents comply with the restrictions in §73.2329(a)(2)(ii) [5]. The definition of "area of the eye" includes eyelids, eyebrow, skin below the eyebrow, conjunctival sac, and soft tissue within the infra-orbital ridge; this applies to products applied near the eyes but does not restrict use in nail polish since nail polish is not applied in that area [9].
21 CFR 70.3(s) defines the "area of the eye" as including the eyelids, eyebrow, skin below the eyebrow, conjunctival sac, and soft areolar tissue within the infra-orbital ridge [9].  
21 CFR 73.2329(a) requires that guanine shall conform in identity and specifications to the requirements of §73.1329(a)(1) and (b) [1].  
21 CFR 73.2329(a)(1) requires that guanine used as a color additive must meet the identity and specification standards set forth in §73.1329(a)(1) and (b) [2].  
21 CFR 73.2329(a)(2) allows for color additive mixtures of guanine to contain diluents, with specific restrictions depending on product type [3].  
21 CFR 73.2329(a)(2)(i) limits the use of diluents in coloring cosmetics generally to those listed under §73.1001(a)(1) [4].  
21 CFR 73.2329(a)(2)(ii) restricts diluents for externally applied cosmetics to those listed in §73.1001(b) and, in addition, nitrocellulose [5].  
21 CFR 73.2329(b) permits the use of guanine in cosmetics generally, including those intended for use in the area of the eye, provided amounts are consistent with good manufacturing practice [6].  
21 CFR 73.2329(c) requires that any color additive or mixture prepared therefrom intended solely or in part for coloring purposes shall bear labeling in accordance with §70.25 [7].  
21 CFR 73.2329(d) exempts guanine from certification because it is deemed safe and does not require certification under section 721(c) of the act [8].</t>
        </is>
      </c>
      <c r="D11" s="2" t="inlineStr">
        <is>
          <t>PARTIALLY FAIL</t>
        </is>
      </c>
      <c r="E11" s="2" t="inlineStr">
        <is>
          <t>Citations and coverage of (a)(1), (b), (c) and (d) are correct. But the opening makes use conditional on the product being 'externally applied' and containing only 73.1001(b) diluents. Guanine is permitted in cosmetics generally, and the (a)(2)(ii) diluent limit applies to color additive mixtures, not the whole nail polish, so the requirement's scope is misstated in a way that could mislead.</t>
        </is>
      </c>
      <c r="F11" s="2" t="inlineStr">
        <is>
          <t>Yes. 73.2329(b) lists guanine for coloring cosmetics generally, including cosmetics intended for use in the area of the eye, in amounts consistent with good manufacturing practice (no numeric cap). It must conform in identity and specifications to § 73.1329(a)(1) and (b) ((a)(1)). The additive and its color mixtures bear § 70.25 labeling ((c)). Batches are exempt from section 721(c) certification ((d)).</t>
        </is>
      </c>
      <c r="G11" s="3" t="n">
        <v>75.09999999999999</v>
      </c>
      <c r="H11" s="2" t="n">
        <v>2458</v>
      </c>
      <c r="I11" s="2" t="n">
        <v>678</v>
      </c>
      <c r="J11" s="2" t="inlineStr">
        <is>
          <t>Execution failure: inspect serve_ui.log and the measurement record for this question, then re-run it as a separately labelled attempt.</t>
        </is>
      </c>
      <c r="K11" s="2" t="inlineStr">
        <is>
          <t>Generated answer</t>
        </is>
      </c>
      <c r="L11" s="2" t="inlineStr">
        <is>
          <t>73</t>
        </is>
      </c>
    </row>
    <row r="12">
      <c r="A12" s="2" t="inlineStr">
        <is>
          <t>COS-74.2260-Q1</t>
        </is>
      </c>
      <c r="B12" s="2" t="inlineStr">
        <is>
          <t>We're a 12-person contract filler formulating a tinted body lotion. Our supplier offers D&amp;C Orange No. 10. Can we use it, is there a use limit, and does the color need FDA certification?</t>
        </is>
      </c>
      <c r="C12" s="2" t="inlineStr">
        <is>
          <t>Body lotion: permitted.
21 CFR 74.2260(b) states: "D&amp;C Orange No. 10 may be safely used for coloring externally applied cosmetics in amounts consistent with good manufacturing practice." [2].
Use limit: no percentage is stated; the amount is consistent with good manufacturing practice [2].
21 CFR 74.2260(a) states: "The color additive D&amp;C Orange No. 10 shall conform in identity and specifications to the requirements of § 74.1260(a)(1) and (b)." [1].
21 CFR 74.2260(c) states: "The label of the color additive shall conform to the requirements of § 70.25 of this chapter." [3].
21 CFR 74.2260(d) states: "All batches of D&amp;C Orange No. 11 shall be certified in accordance with regulations in part 80 of this chapter." [4].
21 CFR 82.1260 states: "The color additive D&amp;C Orange No. 10 shall conform in identity and specifications to the requirements to § 74.1260(a)(1) and (b) of this chapter. D&amp;C Orange No. 10 is restricted to use in externally applied drugs and cosmetics." [5].
21 CFR 70.3(v) states: "The terms externally applied drugs and externally applied cosmetics mean drugs or cosmetics applied only to external parts of the body and not to the lips or any body surface covered by mucous membrane." [6].
21 CFR 82.1050 states: "A batch of a straight color listed in this subpart may be certified, in accordance with the provisions of this part, for use only in drugs and cosmetics, if such batch conforms to the requirements of § 82.5 and to the specifications set forth in this subpart for such color." [7].</t>
        </is>
      </c>
      <c r="D12" s="2" t="inlineStr">
        <is>
          <t>PARTIALLY FAIL</t>
        </is>
      </c>
      <c r="E12" s="2" t="inlineStr">
        <is>
          <t>Gets permitted use, the GMP amount and the 70.3(v) basis right. However, it quotes 74.2260(d) as printed ('D&amp;C Orange No. 11') without flagging the misprint, and it never says plainly that D&amp;C Orange No. 10 needs certification. The certification answer is left ambiguous, and the key's misprint element is missing.</t>
        </is>
      </c>
      <c r="F12" s="2" t="inlineStr">
        <is>
          <t>Yes. § 74.2260(b) permits D&amp;C Orange No. 10 for coloring externally applied cosmetics in amounts consistent with good manufacturing practice; no numeric limit. A body lotion is applied only to external body parts, not lips or mucous membrane (§ 70.3(v)). Batches must be certified under part 80 (§ 74.2260(d), which as printed names "D&amp;C Orange No. 11", an apparent misprint); the label must conform to § 70.25 (§ 74.2260(c)).</t>
        </is>
      </c>
      <c r="G12" s="3" t="n">
        <v>13.8</v>
      </c>
      <c r="H12" s="2" t="n"/>
      <c r="I12" s="2" t="n"/>
      <c r="J12" s="2" t="inlineStr">
        <is>
          <t>Execution failure: inspect serve_ui.log and the measurement record for this question, then re-run it as a separately labelled attempt.</t>
        </is>
      </c>
      <c r="K12" s="2" t="inlineStr">
        <is>
          <t>Fallback: composed_from_listing</t>
        </is>
      </c>
      <c r="L12" s="2" t="inlineStr">
        <is>
          <t>74</t>
        </is>
      </c>
    </row>
    <row r="13">
      <c r="A13" s="2" t="inlineStr">
        <is>
          <t>COS-80.22-Q1</t>
        </is>
      </c>
      <c r="B13" s="2" t="inlineStr">
        <is>
          <t>What requirements apply to the sample we send with our certification request?</t>
        </is>
      </c>
      <c r="C13" s="2" t="inlineStr">
        <is>
          <t>The sample sent with a certification request must be taken only after the batch has been thoroughly mixed to ensure uniform composition throughout [2], and must be held under the control of the person requesting certification until certified [3]. The sample must be labeled to show: (1) the name of the color additive [5], (2) the manufacturer's batch number [6], (3) the quantity of such batch [7], (4) the name and post-office address of the person requesting certification of such batch [8], and (5) be accompanied by any label or labeling intended to be used [9].
The name of the color additive is required and must be shown on the sample label [5].  
The manufacturer's batch number is required and must be shown on the sample label [6].  
The quantity of such batch is required and must be shown on the sample label [7].  
The name and post-office address of the person requesting certification are required and must be shown on the sample label [8].  
Any label or labeling intended to be used must accompany the sample [9].  
The requirement that the batch be thoroughly mixed prior to sampling applies only if the batch has been properly mixed [2]. The sample must remain under the control of the requester until certification is issued [3].</t>
        </is>
      </c>
      <c r="D13" s="2" t="inlineStr">
        <is>
          <t>PARTIALLY FAIL</t>
        </is>
      </c>
      <c r="E13" s="2" t="inlineStr">
        <is>
          <t>Covers 80.22(a), (b) and all five (c) label/labeling items with correct paragraph citations. However, the closing line ('the requirement that the batch be thoroughly mixed ... applies only if the batch has been properly mixed') invents a circular condition that recasts the unconditional mixing requirement as conditional.</t>
        </is>
      </c>
      <c r="F13" s="2" t="inlineStr">
        <is>
          <t>§ 80.22: (a) take it only after the batch has been thoroughly mixed to uniform composition throughout; (b) held under the control of the person requesting certification until certified; (c) labeled with the color additive name, the manufacturer's batch number, the batch quantity, and the requester's name and post office address, and accompanied by any label or labeling intended for use.</t>
        </is>
      </c>
      <c r="G13" s="3" t="n">
        <v>42.5</v>
      </c>
      <c r="H13" s="2" t="n">
        <v>1734</v>
      </c>
      <c r="I13" s="2" t="n">
        <v>263</v>
      </c>
      <c r="J13" s="2" t="inlineStr">
        <is>
          <t>Execution failure: inspect serve_ui.log and the measurement record for this question, then re-run it as a separately labelled attempt.</t>
        </is>
      </c>
      <c r="K13" s="2" t="inlineStr">
        <is>
          <t>Generated answer</t>
        </is>
      </c>
      <c r="L13" s="2" t="inlineStr">
        <is>
          <t>80</t>
        </is>
      </c>
    </row>
    <row r="14">
      <c r="A14" s="2" t="inlineStr">
        <is>
          <t>COS-82.5-Q1</t>
        </is>
      </c>
      <c r="B14" s="2" t="inlineStr">
        <is>
          <t>What general specifications must a batch of an FD&amp;C (subpart B) straight color meet before it can be certified?</t>
        </is>
      </c>
      <c r="C14" s="2" t="inlineStr">
        <is>
          <t>A batch of an FD&amp;C (subpart B) straight color must meet the following general specifications before it can be certified:  
- It must be free from all impurities, except those specifically named in paragraph (b) or in the specifications for that color, to the extent such impurities can be avoided by good manufacturing practice [2].  
- For a straight color listed in subpart B, lead (as Pb) shall not exceed 0.001 percent [5]; arsenic (as As₂O₃) shall not exceed 0.00014 percent [6]; and heavy metals (except Pb and As), by precipitation as sulfides, shall not exceed trace levels [7].  
- For a straight color listed in subpart C or D, lead (as Pb) shall not exceed 0.002 percent [9]; arsenic (as As₂O₃) shall not exceed 0.0002 percent [10]; and heavy metals (except Pb and As), by precipitation as sulfides, shall not exceed 0.003 percent [11].  
- If the straight color contains a barium salt listed in subpart C or D, soluble barium (in dilute HCl) as BaCl₂ shall not exceed 0.05 percent [12].  
The batch must also conform to the general specifications outlined in section (b), which differ based on whether the color is listed in subpart B, C, or D [3], and specifically for subpart B, the limits on lead, arsenic, and heavy metals are as defined above.  
21 CFR 70.3(j) [13] defines "straight color" as a color additive listed in parts 73, 74, and 81 of this chapter, including lakes and substances permitted by the specifications for such color.  
21 CFR 82.5(a) [2] requires that the batch be free from all impurities (other than those named in paragraph (b) or in the specifications set forth therein) to the extent such impurities can be avoided by good manufacturing practice.  
21 CFR 82.5(b) [3] specifies that the batch must conform to the following:  
- For subpart B, lead not more than 0.001 percent [5]; arsenic not more than 0.00014 percent [6]; and heavy metals (except Pb and As) not more than trace [7].  
- For subpart C or D, lead not more than 0.002 percent [9]; arsenic not more than 0.0002 percent [10]; and heavy metals (except Pb and As) not more than 0.003 percent [11].  
- For a straight color containing a barium salt in subpart C or D, soluble barium (as BaCl₂) not more than 0.05 percent [12].  
21 CFR 82.5(b)(1) [4] applies specifically to straight colors listed in subpart B and sets the limits on lead, arsenic, and heavy metals as specified in subsections (b)(1)(i), (b)(1)(ii), and (b)(1)(iii).  
21 CFR 82.5(b)(1)(i) [5] requires that lead (as Pb) not exceed 0.001 percent for a straight color listed in subpart B.  
21 CFR 82.5(b)(1)(ii) [6] requires that arsenic (as As₂O₃) not exceed 0.00014 percent for a straight color listed in subpart B.  
21 CFR 82.5(b)(1)(iii) [7] requires that heavy metals (except Pb and As), by precipitation as sulfides, not exceed trace levels for a straight color listed in subpart B, except that this limit is subject to the condition that such impurities are not present beyond what can be avoided by good manufacturing practice.  
21 CFR 82.5(b)(2) [8] applies to straight colors listed in subpart C or D and specifies different limits for lead, arsenic, and heavy metals than those for subpart B.  
21 CFR 82.5(b)(2)(i) [9] requires that lead (as Pb) not exceed 0.002 percent for a straight color listed in subpart C or D.  
21 CFR 82.5(b)(2)(ii) [10] requires that arsenic (as As₂O₃) not exceed 0.0002 percent for a straight color listed in subpart C or D.  
21 CFR 82.5(b)(2)(iii) [11] requires that heavy metals (except Pb and As), by precipitation as sulfides, not exceed 0.003 percent for a straight color listed in subpart C or D.  
21 CFR 82.5(b)(3) [12] specifies that if the straight color contains a barium salt listed in subpart C or D, soluble barium (in dilute HCl) as BaCl₂ shall not exceed 0.05 percent.  
21 CFR 70.3(j) [13] defines "straight color" to include lakes and substances permitted by the specifications for such color, which is relevant to determining whether a substance qualifies as a straight color under FD&amp;C subpart B.</t>
        </is>
      </c>
      <c r="D14" s="2" t="inlineStr">
        <is>
          <t>PARTIALLY FAIL</t>
        </is>
      </c>
      <c r="E14" s="2" t="inlineStr">
        <is>
          <t>Correctly gives 82.5(a) and the (b)(1) subpart B limits (Pb 0.001%, As2O3 0.00014%, other heavy metals trace), and the extra (b)(2)/(b)(3) limits are correct. However, it misreads (b)(1)(iii) by adding an invented GMP-avoidability condition to the 'not more than trace' limit.</t>
        </is>
      </c>
      <c r="F14" s="2" t="inlineStr">
        <is>
          <t>§ 82.5(a): free from impurities other than those named in (b) or in its own specifications, to the extent avoidable by good manufacturing practice. § 82.5(b)(1): lead (as Pb) not more than 0.001 percent; arsenic (as As2O3) not more than 0.00014 percent; heavy metals other than lead and arsenic (precipitated as sulfides) not more than trace.</t>
        </is>
      </c>
      <c r="G14" s="3" t="n">
        <v>61.3</v>
      </c>
      <c r="H14" s="2" t="n">
        <v>1979</v>
      </c>
      <c r="I14" s="2" t="n">
        <v>1182</v>
      </c>
      <c r="J14" s="2" t="inlineStr">
        <is>
          <t>Execution failure: inspect serve_ui.log and the measurement record for this question, then re-run it as a separately labelled attempt.</t>
        </is>
      </c>
      <c r="K14" s="2" t="inlineStr">
        <is>
          <t>Generated answer</t>
        </is>
      </c>
      <c r="L14" s="2" t="inlineStr">
        <is>
          <t>82</t>
        </is>
      </c>
    </row>
    <row r="15">
      <c r="A15" s="2" t="inlineStr">
        <is>
          <t>COS-82.51-Q1</t>
        </is>
      </c>
      <c r="B15" s="2" t="inlineStr">
        <is>
          <t>We want to make FD&amp;C aluminum lakes for cosmetics. What does the regulation require for composition, specifications and naming?</t>
        </is>
      </c>
      <c r="C15" s="2" t="inlineStr">
        <is>
          <t>The regulation requires that FD&amp;C aluminum lakes for cosmetics be prepared by extending a certified water-soluble straight color on an alumina substratum, and each such lake must meet specific composition and specification criteria, including limits on soluble chlorides and sulfates and inorganic matter. The name of the lake is determined by combining the listed name of the parent color with the name of the basic radical (aluminum) and appending the word “Lake.” These lakes are considered straight colors and must conform to specifications set forth for the parent color, including those in §82.50.
21 CFR 82.51(a)(1) [1] requires that any aluminum lake be made by extending a salt derived from one of the certified water-soluble straight colors on an alumina substratum using either the aluminum or calcium basic radical.
21 CFR 82.51(a)(2) [2] specifies that lakes must be prepared from previously certified colors listed in this subpart, and further limits soluble chlorides and sulfates (as sodium salts) to not more than 2.0 percent; insoluble HCl and inorganic matter are limited to not more than 0.5 percent [3].
21 CFR 82.51(b) [4] establishes that each lake made as prescribed in paragraph (a) shall be considered a straight color and listed under a name formed according to specific rules.
21 CFR 82.51(b)(1) [5] requires the name of the lake to include the listed name of the parent color from which it is prepared.
21 CFR 82.51(b)(2) [6] requires the inclusion of the name of the basic radical (aluminum or calcium) combined in the color.
21 CFR 82.51(b)(3) [7] and [8] require that the word “Lake” be appended to the name, as illustrated by the example: FD&amp;C Blue No. 1—Aluminum Lake.
21 CFR 82.50 [9] requires a batch of a straight color (including lakes) to be certified for use in food, drugs, and cosmetics if it conforms to §82.5 and to the specifications set forth in this subpart for that color.</t>
        </is>
      </c>
      <c r="D15" s="2" t="inlineStr">
        <is>
          <t>PARTIALLY FAIL</t>
        </is>
      </c>
      <c r="E15" s="2" t="inlineStr">
        <is>
          <t>All citations are correct: 82.51(a)(1), (a)(2), (b), (b)(1)-(3) and 82.50. Composition, previously certified colors, the 2.0% chlorides/sulfates limit and the naming rule all match the key. Two problems keep sub at 1. First, the single specification 'inorganic matter, insoluble in HCl, not more than 0.5%' is garbled into 'insoluble HCl and inorganic matter', and the summary just says 'limits on inorganic matter'. Read literally, that caps all inorganic matter, which is wrong for an alumina lake. Second, the summary says lakes must meet the parent color's specifications 'including those in §82.50', which the regulation does not say. So this is not a full PASS.</t>
        </is>
      </c>
      <c r="F15" s="2" t="inlineStr">
        <is>
          <t>§ 82.51(a)(1): a salt (basic radical aluminum or calcium) of a certified, water-soluble subpart B straight color extended on an alumina substratum. (a)(2): made from previously certified colors; soluble chlorides and sulfates (as sodium salts) not more than 2.0 percent; HCl-insoluble inorganic matter not more than 0.5 percent. (b): treated as a straight color and named listed name + basic radical + 'Lake'.</t>
        </is>
      </c>
      <c r="G15" s="3" t="n">
        <v>35.3</v>
      </c>
      <c r="H15" s="2" t="n">
        <v>1633</v>
      </c>
      <c r="I15" s="2" t="n">
        <v>476</v>
      </c>
      <c r="J15" s="2" t="inlineStr">
        <is>
          <t>Execution failure: inspect serve_ui.log and the measurement record for this question, then re-run it as a separately labelled attempt.</t>
        </is>
      </c>
      <c r="K15" s="2" t="inlineStr">
        <is>
          <t>Generated answer</t>
        </is>
      </c>
      <c r="L15" s="2" t="inlineStr">
        <is>
          <t>82</t>
        </is>
      </c>
    </row>
    <row r="16">
      <c r="A16" s="2" t="inlineStr">
        <is>
          <t>COS-82.705-Q1</t>
        </is>
      </c>
      <c r="B16" s="2" t="inlineStr">
        <is>
          <t>We supply FD&amp;C Yellow No. 5 to cosmetic makers. Under Part 82, what specifications must a batch meet for certification?</t>
        </is>
      </c>
      <c r="C16" s="2" t="inlineStr">
        <is>
          <t>The generated answer could not be validated against the retrieved regulatory evidence. The verified text of the requested provision(s) follows.
21 CFR 82.705 (eCFR, binding, verbatim): The color additive FD&amp;C Yellow No. 5 shall conform in identity and specifications to the requirements of § 74.705 (a)(1) and (b) of this chapter [1].
21 CFR 82.50 (eCFR, binding, verbatim): A batch of a straight color listed in this subpart may be certified, in accordance with the provisions of the regulations in this part, for use in food, drugs, and cosmetics, if such batch conforms to the requirements of § 82.5 and to the specifications in this subpart set forth for such color [2].</t>
        </is>
      </c>
      <c r="D16" s="2" t="inlineStr">
        <is>
          <t>PARTIALLY FAIL</t>
        </is>
      </c>
      <c r="E16" s="2" t="inlineStr">
        <is>
          <t>Delivered only a verbatim quote of 82.705 (conform to 74.705(a)(1) and (b)) and 82.50 (conform to 82.5), with correct citations. It does not apply them or state the 82.5 subpart B limits (Pb 0.001%, As2O3 0.00014%, heavy metals trace) that the key requires.</t>
        </is>
      </c>
      <c r="F16" s="2" t="inlineStr">
        <is>
          <t>§ 82.705 requires FD&amp;C Yellow No. 5 to conform in identity and specifications to § 74.705(a)(1) and (b). Under § 82.50 a subpart B batch may be certified if it also meets § 82.5 (lead not more than 0.001 percent, arsenic as As2O3 not more than 0.00014 percent, other heavy metals not more than trace).</t>
        </is>
      </c>
      <c r="G16" s="3" t="n">
        <v>30.2</v>
      </c>
      <c r="H16" s="2" t="n">
        <v>995</v>
      </c>
      <c r="I16" s="2" t="n">
        <v>191</v>
      </c>
      <c r="J16" s="2" t="inlineStr">
        <is>
          <t>Execution failure: inspect serve_ui.log and the measurement record for this question, then re-run it as a separately labelled attempt.</t>
        </is>
      </c>
      <c r="K16" s="2" t="inlineStr">
        <is>
          <t>Generated answer</t>
        </is>
      </c>
      <c r="L16" s="2" t="inlineStr">
        <is>
          <t>82</t>
        </is>
      </c>
    </row>
    <row r="17">
      <c r="A17" s="2" t="inlineStr">
        <is>
          <t>COS-82.706-Q1</t>
        </is>
      </c>
      <c r="B17" s="2" t="inlineStr">
        <is>
          <t>We supply FD&amp;C Yellow No. 6 to cosmetic makers. Under Part 82, what specifications must a batch meet for certification?</t>
        </is>
      </c>
      <c r="C17" s="2" t="inlineStr">
        <is>
          <t>A batch of FD&amp;C Yellow No. 6 may be certified for use in cosmetics if it conforms to the requirements of § 82.5 and to the specifications set forth in this subpart for such color [1]. The term "straight color" includes lakes and substances permitted by the specifications for such color [2].
21 CFR 70.3(j) defines "straight color" as a color additive listed in parts 73, 74, and 81 of this chapter, and includes lakes and such substances as are permitted by the specifications for such color [2].  
21 CFR 82.50 requires that a batch of a straight color listed in this subpart conform to the requirements of § 82.5 and to the specifications in this subpart set forth for such color in order to be certified for use in food, drugs, and cosmetics [1].</t>
        </is>
      </c>
      <c r="D17" s="2" t="inlineStr">
        <is>
          <t>PARTIALLY FAIL</t>
        </is>
      </c>
      <c r="E17" s="2" t="inlineStr">
        <is>
          <t>Cites only 82.50 and 70.3(j). It omits the primary provision 82.706 and its requirement to conform to 74.706(a)(1) and (b), and never states the 82.5 limits, so it does not say what specifications apply.</t>
        </is>
      </c>
      <c r="F17" s="2" t="inlineStr">
        <is>
          <t>§ 82.706 requires FD&amp;C Yellow No. 6 to conform in identity and specifications to § 74.706(a)(1) and (b). Under § 82.50 a subpart B batch may be certified if it also meets § 82.5 (lead not more than 0.001 percent, arsenic as As2O3 not more than 0.00014 percent, other heavy metals not more than trace).</t>
        </is>
      </c>
      <c r="G17" s="3" t="n">
        <v>19.1</v>
      </c>
      <c r="H17" s="2" t="n">
        <v>990</v>
      </c>
      <c r="I17" s="2" t="n">
        <v>187</v>
      </c>
      <c r="J17" s="2" t="inlineStr">
        <is>
          <t>Execution failure: inspect serve_ui.log and the measurement record for this question, then re-run it as a separately labelled attempt.</t>
        </is>
      </c>
      <c r="K17" s="2" t="inlineStr">
        <is>
          <t>Generated answer</t>
        </is>
      </c>
      <c r="L17" s="2" t="inlineStr">
        <is>
          <t>82</t>
        </is>
      </c>
    </row>
    <row r="18">
      <c r="A18" s="2" t="inlineStr">
        <is>
          <t>COS-82.1330-Q1</t>
        </is>
      </c>
      <c r="B18" s="2" t="inlineStr">
        <is>
          <t>Our eyeshadow palette uses D&amp;C Red No. 30. What does 82.1330 require, and does it set limits?</t>
        </is>
      </c>
      <c r="C18" s="2" t="inlineStr">
        <is>
          <t>The generated answer could not be validated against the retrieved regulatory evidence. The verified text of the requested provision(s) follows.
21 CFR 82.1330 (eCFR, binding, verbatim): The color additive D&amp;C Red No. 30 shall conform in identity and specifications to the requirements of § 74.1330 (a)(1) and (b) of this chapter [1].
21 CFR 82.1050 (eCFR, binding, verbatim): A batch of a straight color listed in this subpart may be certified, in accordance with the provisions of this part, for use only in drugs and cosmetics, if such batch conforms to the requirements of § 82.5 and to the specifications set forth in this subpart for such color [2].</t>
        </is>
      </c>
      <c r="D18" s="2" t="inlineStr">
        <is>
          <t>PARTIALLY FAIL</t>
        </is>
      </c>
      <c r="E18" s="2" t="inlineStr">
        <is>
          <t>Verbatim quotes of 82.1330 and 82.1050 with correct citations. It never answers the 'does it set limits' part (the key says 82.1330 sets no use restriction or quantitative limit), so the provision is restated without being applied.</t>
        </is>
      </c>
      <c r="F18" s="2" t="inlineStr">
        <is>
          <t>21 CFR 82.1330 contains one sentence: D&amp;C Red No. 30 shall conform in identity and specifications to § 74.1330(a)(1) and (b). It states no use restriction or quantitative limit. Under 82.1050 a batch of a straight color listed in Subpart C may be certified for use only in drugs and cosmetics if it conforms to 82.5 and the subpart specifications.</t>
        </is>
      </c>
      <c r="G18" s="3" t="n">
        <v>22.5</v>
      </c>
      <c r="H18" s="2" t="n">
        <v>1001</v>
      </c>
      <c r="I18" s="2" t="n">
        <v>282</v>
      </c>
      <c r="J18" s="2" t="inlineStr">
        <is>
          <t>Execution failure: inspect serve_ui.log and the measurement record for this question, then re-run it as a separately labelled attempt.</t>
        </is>
      </c>
      <c r="K18" s="2" t="inlineStr">
        <is>
          <t>Generated answer</t>
        </is>
      </c>
      <c r="L18" s="2" t="inlineStr">
        <is>
          <t>82</t>
        </is>
      </c>
    </row>
    <row r="19">
      <c r="A19" s="2" t="inlineStr">
        <is>
          <t>COS-82.1602-Q1</t>
        </is>
      </c>
      <c r="B19" s="2" t="inlineStr">
        <is>
          <t>We're a hair-care company using D&amp;C Violet No. 2 in a toning shampoo. What does 82.1602 require, and does it restrict use?</t>
        </is>
      </c>
      <c r="C19" s="2" t="inlineStr">
        <is>
          <t>The color additive D&amp;C Violet No. 2 shall conform in identity and specifications to the requirements of §74.1602(a)(1) and (b) [1].  
21 CFR 82.1602 [1] requires that D&amp;C Violet No. 2 shall conform in identity and specifications to the requirements of §74.1602(a)(1) and (b).  
21 CFR 82.1050 [2] requires that a batch of a straight color listed in this subpart may be certified for use only in drugs and cosmetics if such batch conforms to the requirements of §82.5 and to the specifications set forth in this subpart for such color.</t>
        </is>
      </c>
      <c r="D19" s="2" t="inlineStr">
        <is>
          <t>PARTIALLY FAIL</t>
        </is>
      </c>
      <c r="E19" s="2" t="inlineStr">
        <is>
          <t>It restates 82.1602 and 82.1050 correctly but never answers 'does it restrict use?'. The key's point that 82.1602 states no use restriction or quantitative limit is missing, and the 82.1050 'use only in drugs and cosmetics' wording is left uninterpreted.</t>
        </is>
      </c>
      <c r="F19" s="2" t="inlineStr">
        <is>
          <t>21 CFR 82.1602 contains one sentence: D&amp;C Violet No. 2 shall conform in identity and specifications to § 74.1602(a)(1) and (b). It states no use restriction or quantitative limit. Under 82.1050 a batch of a straight color listed in Subpart C may be certified for use only in drugs and cosmetics if it conforms to 82.5 and the subpart specifications.</t>
        </is>
      </c>
      <c r="G19" s="3" t="n">
        <v>22.1</v>
      </c>
      <c r="H19" s="2" t="n">
        <v>1395</v>
      </c>
      <c r="I19" s="2" t="n">
        <v>155</v>
      </c>
      <c r="J19" s="2" t="inlineStr">
        <is>
          <t>Execution failure: inspect serve_ui.log and the measurement record for this question, then re-run it as a separately labelled attempt.</t>
        </is>
      </c>
      <c r="K19" s="2" t="inlineStr">
        <is>
          <t>Generated answer</t>
        </is>
      </c>
      <c r="L19" s="2" t="inlineStr">
        <is>
          <t>82</t>
        </is>
      </c>
    </row>
    <row r="20">
      <c r="A20" s="2" t="inlineStr">
        <is>
          <t>COS-82.2051-Q1</t>
        </is>
      </c>
      <c r="B20" s="2" t="inlineStr">
        <is>
          <t>We plan a calcium lake of an Ext. D&amp;C color on clay for a body glitter. What does Part 82 require for an Ext. D&amp;C lake?</t>
        </is>
      </c>
      <c r="C20" s="2" t="inlineStr">
        <is>
          <t>Part 82 requires that an Ext. D&amp;C lake made on a clay substratum using calcium as the basic radical is permitted, provided it meets the specifications for lakes defined under §82.2051. The lake must be prepared by extending one of the straight colors (e.g., Ext. D&amp;C Yellow No. 2) with calcium and applied to a substratum such as clay; however, the specific color or type of lake is not restricted by the substrate alone—only that the preparation follows the general rules for lakes in §82.2051.
21 CFR 82.2051(a)(1) [1] permits lakes made from a straight color (e.g., Ext. D&amp;C Yellow No. 2) extended on substrata such as clay, titanium dioxide, or zinc oxide, provided the lake is formed by combining the basic radical calcium with one of the listed straight colors.
21 CFR 82.2051(a)(2) [2] and [3] require that ether extracts shall not exceed 0.5 percent; soluble chlorides and sulfates (as sodium salts) shall not exceed 3.0 percent; and intermediates shall not exceed 0.2 percent.
21 CFR 82.2051(b) [4] states each lake made as prescribed in paragraph (a) is considered a straight color and listed under the name formed by combining the original color name, the basic radical used, and the word “Lake.”
21 CFR 82.2051(b)(1) [5] requires that the listed name of the color from which the lake is prepared be included in the name.
21 CFR 82.2051(b)(2) [6] requires that the name of the basic radical combined in such color (e.g., calcium) be included in the name.
21 CFR 82.2051(b)(3) [7] requires that the word “Lake” be appended to the name, as in "Ext. D&amp;C Yellow No. 2—Calcium Lake."
21 CFR 82.2050 [8] requires a batch of a straight color (including lakes) to conform to §82.5 and to the specifications set forth in this subpart for such color to be certified for use in externally applied drugs and cosmetics.</t>
        </is>
      </c>
      <c r="D20" s="2" t="inlineStr">
        <is>
          <t>PARTIALLY FAIL</t>
        </is>
      </c>
      <c r="E20" s="2" t="inlineStr">
        <is>
          <t>The (a)(2) specifications and the (b) naming rule are correct, but the (a)(1) summary is garbled. It omits the requirement that the straight color be a sodium, potassium, barium or calcium salt (or a salt made with the listed radicals). It also truncates the substrata list and frames the answer confusingly ('permitted... not restricted by the substrate alone').</t>
        </is>
      </c>
      <c r="F20" s="2" t="inlineStr">
        <is>
          <t>82.2051(a)(1): lake on alumina, blanc fixe, gloss white, clay, titanium dioxide, zinc oxide, talc, rosin, aluminum benzoate, calcium carbonate, or combinations, of (i) a Subpart D straight color that is a sodium, potassium, barium, or calcium salt, or (ii) a salt prepared from such a color with sodium, potassium, aluminum, barium, calcium, strontium, or zirconium. (a)(2): ether extracts ≤0.5%; soluble chlorides and sulfates ≤3.0%; intermediates ≤0.2%.</t>
        </is>
      </c>
      <c r="G20" s="3" t="n">
        <v>33.2</v>
      </c>
      <c r="H20" s="2" t="n">
        <v>1759</v>
      </c>
      <c r="I20" s="2" t="n">
        <v>503</v>
      </c>
      <c r="J20" s="2" t="inlineStr">
        <is>
          <t>Execution failure: inspect serve_ui.log and the measurement record for this question, then re-run it as a separately labelled attempt.</t>
        </is>
      </c>
      <c r="K20" s="2" t="inlineStr">
        <is>
          <t>Generated answer</t>
        </is>
      </c>
      <c r="L20" s="2" t="inlineStr">
        <is>
          <t>82</t>
        </is>
      </c>
    </row>
    <row r="21">
      <c r="A21" s="2" t="inlineStr">
        <is>
          <t>COS-700.25-Q1</t>
        </is>
      </c>
      <c r="B21" s="2" t="inlineStr">
        <is>
          <t>We sell a mouthwash on open drugstore shelves. Do we need tamper-resistant packaging?</t>
        </is>
      </c>
      <c r="C21" s="2" t="inlineStr">
        <is>
          <t>Yes, you need tamper-resistant packaging for your mouthwash sold on open drugstore shelves because the product is a cosmetic liquid oral hygiene product accessible to the public while held for sale [2].  
The requirement applies if the mouthwash is packaged for retail sale and is accessible to the public during retail display; the package must have an indicator or barrier to entry that provides visible evidence of tampering if breached or missing, and this feature must be distinctive by design—meaning it cannot be duplicated with commonly available materials or processes—and must remain intact when handled in a reasonable manner during manufacture, distribution, and retail display [2].  
A prominent labeling statement is required on each retail package (except aerosol products) that alerts consumers to the specific tamper-resistant feature of the package, and this statement must remain visible even if the tamper-resistant feature is breached or missing. If the tamper-resistant feature uses an identifying characteristic (e.g., a pattern, name, logo), that characteristic must be referenced in the labeling statement [3].  
The tamper-resistant packaging requirement is effective on February 7, 1983 for products packaged for retail sale on or after that date, except for vaginal tablets, and is effective on May 5, 1983 for vaginal tablets; the full requirements, including a distinctive indicator by design and labeling statement, are effective on May 5, 1983 for all affected cosmetic products, with the specific reference to identifying characteristics becoming effective on February 6, 1984 [10][12]. The requirement is also effective on or after February 6, 1984 for products held for sale on or after that date [13].  
The requirement does not apply to aerosol products, which are defined as those depending on liquefied or compressed gas to expel contents [2].  
An exemption from the packaging and labeling requirements may be requested through a citizen petition under §700.25(d), which must include the name of the product, reasons that compliance is unnecessary or unachievable, and other information justifying an exemption [5][6][7].  
The requirement applies to all cosmetic liquid oral hygiene products accessible to the public while held for sale; it does not apply to products not accessible to the public during retail display [2].
Evidence limit: not all of the retrieved text of 21 CFR 700.25 fit in the evidence supplied for this answer (2 paragraphs left out). The answer above does not cover that text; consult the full provisions.</t>
        </is>
      </c>
      <c r="D21" s="2" t="inlineStr">
        <is>
          <t>PARTIALLY FAIL</t>
        </is>
      </c>
      <c r="E21" s="2" t="inlineStr">
        <is>
          <t>The 'yes' and the (b) and (c) obligations are mostly right, but it says 'the requirement does not apply to aerosol products', citing (b). In (b), an aerosol container is an example of 'distinctive by design'; the aerosol exception covers only the (c) labeling statement. The vaginal-tablet date is cited to (e)(1)(i)/(e)(2), not (e)(1)(ii), and the (a) adulteration/misbranding consequence is missing.</t>
        </is>
      </c>
      <c r="F21" s="2" t="inlineStr">
        <is>
          <t>Yes. § 700.25(b): each manufacturer and packer of a cosmetic liquid oral hygiene product or vaginal product for retail sale shall package it in a tamper-resistant package if the product is accessible to the public while held for sale. § 700.25(a): a product not so packaged or labeled is adulterated under section 601, misbranded under section 602, or both.</t>
        </is>
      </c>
      <c r="G21" s="3" t="n">
        <v>79.90000000000001</v>
      </c>
      <c r="H21" s="2" t="n">
        <v>3721</v>
      </c>
      <c r="I21" s="2" t="n">
        <v>477</v>
      </c>
      <c r="J21" s="2" t="inlineStr">
        <is>
          <t>Execution failure: inspect serve_ui.log and the measurement record for this question, then re-run it as a separately labelled attempt.</t>
        </is>
      </c>
      <c r="K21" s="2" t="inlineStr">
        <is>
          <t>Generated answer</t>
        </is>
      </c>
      <c r="L21" s="2" t="inlineStr">
        <is>
          <t>700</t>
        </is>
      </c>
    </row>
    <row r="22">
      <c r="A22" s="2" t="inlineStr">
        <is>
          <t>COS-700.25-Q3</t>
        </is>
      </c>
      <c r="B22" s="2" t="inlineStr">
        <is>
          <t>An auditor asks when the tamper-resistant packaging and labeling requirements took effect for our mouthwash and our vaginal tablets. What does the rule state?</t>
        </is>
      </c>
      <c r="C22" s="2" t="inlineStr">
        <is>
          <t>The tamper-resistant packaging and labeling requirements for mouthwash and vaginal tablets took effect on different dates depending on the product type and specific requirement:
- For mouthwash: The packaging requirement (tamper-resistant package) became effective on February 7, 1983, for products packaged for retail sale on or after that date, except for the requirement that the indicator or barrier to entry be distinctive by design, which is not specified in this provision [10].  
- For vaginal tablets: The packaging requirement became effective on May 5, 1983, for products packaged for retail sale on or after that date [11].  
- The labeling requirement (including the statement about the tamper-resistant feature) was effective on February 6, 1984, for all affected cosmetic products packaged for retail sale on or after that date, except that the specific reference to an identifying characteristic in the label is required only from that date onward [12].  
- For products held for sale after February 6, 1984, the tamper-resistant packaging requirement applies as of that date, even if packaged before May 5, 1983, but this does not apply to the distinctive design requirement [13].
The rule states that the effective dates are tied to when a product is packaged for retail sale and depend on whether it is a mouthwash or vaginal tablet. The packaging requirement applies as of February 7, 1983 (for mouthwash) and May 5, 1983 (for vaginal tablets), while labeling requirements apply with specific dates tied to the type of product and the presence of an identifying characteristic [10][11][12][13].
21 CFR 700.25(e)(1)(i): The packaging requirement for mouthwash is effective on February 7, 1983, for products packaged for retail sale on or after that date, except for the distinctive indicator or barrier to entry requirement [10].  
21 CFR 700.25(e)(1)(ii): The packaging requirement for vaginal tablets is effective on May 5, 1983, for products packaged for retail sale on or after that date [11].  
21 CFR 700.25(e)(2): The labeling requirements—specifically the need for a distinctive indicator by design and the labeling statement—are effective on May 5, 1983, for all affected cosmetic products packaged for retail sale on or after that date; however, the requirement to reference an identifying characteristic in the label is effective on February 6, 1984 [12].  
21 CFR 700.25(e)(3): The tamper-resistant packaging requirement is effective on February 6, 1984 for products held for sale on or after that date if they were packaged for retail sale before May 5, 1983; this applies to the overall packaging requirement but not to the distinctive design requirement [13].
Evidence limit: not all of the retrieved text of 21 CFR 700.25 fit in the evidence supplied for this answer (2 paragraphs left out). The answer above does not cover that text; consult the full provisions.</t>
        </is>
      </c>
      <c r="D22" s="2" t="inlineStr">
        <is>
          <t>PARTIALLY FAIL</t>
        </is>
      </c>
      <c r="E22" s="2" t="inlineStr">
        <is>
          <t>The later (e)(1) and (e)(2) lines give the correct dates. But the main bullet says the labeling-statement requirement took effect February 6, 1984 (correct: May 5, 1983), and the summary wrongly ties labeling dates to product type. That internal contradiction would mislead an auditor.</t>
        </is>
      </c>
      <c r="F22" s="2" t="inlineStr">
        <is>
          <t>§ 700.25(e)(1) packaging: February 7, 1983 for affected products other than vaginal tablets; May 5, 1983 for vaginal tablets packaged for retail sale on or after that date. (e)(2) labeling: May 5, 1983 for the distinctive-by-design requirement and the labeling statement; February 6, 1984 for the specific reference to any identifying characteristic.</t>
        </is>
      </c>
      <c r="G22" s="3" t="n">
        <v>48.1</v>
      </c>
      <c r="H22" s="2" t="n">
        <v>2731</v>
      </c>
      <c r="I22" s="2" t="n">
        <v>636</v>
      </c>
      <c r="J22" s="2" t="inlineStr">
        <is>
          <t>Execution failure: inspect serve_ui.log and the measurement record for this question, then re-run it as a separately labelled attempt.</t>
        </is>
      </c>
      <c r="K22" s="2" t="inlineStr">
        <is>
          <t>Generated answer</t>
        </is>
      </c>
      <c r="L22" s="2" t="inlineStr">
        <is>
          <t>700</t>
        </is>
      </c>
    </row>
    <row r="23">
      <c r="A23" s="2" t="inlineStr">
        <is>
          <t>COS-701.1-Q1</t>
        </is>
      </c>
      <c r="B23" s="2" t="inlineStr">
        <is>
          <t>Our 'Avocado &amp; Shea Hand Cream' has 12 ingredients, including avocado oil and shea butter, all listed on the back. Could the name still be misleading?</t>
        </is>
      </c>
      <c r="C23" s="2" t="inlineStr">
        <is>
          <t>The name "Avocado &amp; Shea Hand Cream" could be misleading under 21 CFR 701.1(b) because the label names the product after two ingredients—avocado and shea—but does not list all ingredients, even though the cream contains more than just these two. The provision specifically addresses labeling that suggests inclusion of one or more ingredients when not all are present, which may constitute a misleading representation [2].
21 CFR 701.1(b) prohibits labeling a cosmetic with a name that implies the presence of certain ingredients (like avocado and shea) if those ingredients are not all included in the product, even though the full list of ingredients is stated elsewhere on the label [2]. This means the name "Avocado &amp; Shea Hand Cream" may be misleading because it suggests the product contains only these two ingredients or implies a focus on them when other ingredients are also present. The misbranding occurs if the name suggests inclusion of one or more but not all ingredients, which is prohibited under this regulation [2].</t>
        </is>
      </c>
      <c r="D23" s="2" t="inlineStr">
        <is>
          <t>PARTIALLY FAIL</t>
        </is>
      </c>
      <c r="E23" s="2" t="inlineStr">
        <is>
          <t>Cites 701.1(b) correctly and gets the direction right ('may be misleading'). But it misreads the facts, saying not all ingredients are listed, and misreads the rule as covering named ingredients that are 'not all included in the product'. It also calls the practice 'prohibited', where the key stresses the section only says 'may be' misleading.</t>
        </is>
      </c>
      <c r="F23" s="2" t="inlineStr">
        <is>
          <t>Possibly. § 701.1(b): the labeling of a cosmetic made from two or more ingredients may be misleading if the name of the cosmetic includes or suggests the name of one or more, but not all, of its ingredients, even though all ingredients are named elsewhere in the labeling. The section says 'may be'; it does not make every such name automatically misleading.</t>
        </is>
      </c>
      <c r="G23" s="3" t="n">
        <v>24.6</v>
      </c>
      <c r="H23" s="2" t="n">
        <v>938</v>
      </c>
      <c r="I23" s="2" t="n">
        <v>213</v>
      </c>
      <c r="J23" s="2" t="inlineStr">
        <is>
          <t>Execution failure: inspect serve_ui.log and the measurement record for this question, then re-run it as a separately labelled attempt.</t>
        </is>
      </c>
      <c r="K23" s="2" t="inlineStr">
        <is>
          <t>Generated answer</t>
        </is>
      </c>
      <c r="L23" s="2" t="inlineStr">
        <is>
          <t>701</t>
        </is>
      </c>
    </row>
    <row r="24">
      <c r="A24" s="2" t="inlineStr">
        <is>
          <t>COS-701.3-Q3</t>
        </is>
      </c>
      <c r="B24" s="2" t="inlineStr">
        <is>
          <t>Our eyeshadow line has 20 shades on the same base, sold under one brand. Can one ingredient list with 'may contain' for colors cover all of them?</t>
        </is>
      </c>
      <c r="C24" s="2" t="inlineStr">
        <is>
          <t>Yes, one ingredient list with "may contain" for colors can cover all 20 shades of eyeshadow sold under one brand, provided that: (1) the product line shares a common trade name or brand designation, and (2) no individual shade has a different brand or trade name appearing in its labeling. This is permitted under 21 CFR 701.3(g)(2)(iii), which allows a single ingredient declaration to apply to all products sold under a common brand if they share the same ingredient list and no distinct brand designation appears on any individual product [3]. Additionally, the list may include "may contain" statements for ingredients not present in the product, as allowed by 21 CFR 701.3(g) [2], provided that such declarations are made only when the ingredient is identified by the phrase “may contain” and all products share a common brand or trade name [3].
21 CFR 701.3(b) requires that the declaration of ingredients appear with prominence and conspicuousness, in letters not less than 1/16 of an inch in height, and may be placed on a tag, tape, or card if space is insufficient on the package [1].  
21 CFR 701.3(g) permits a declaration to include an ingredient not present in the product if it is identified by the phrase “may contain” [2].  
21 CFR 701.3(g)(2)(iii) requires that all products sharing the common declaration must be sold under a common trade name or brand designation, and no individual product may have a different trade name or brand designation in its labeling [3].  
21 CFR 701.3(o)(1) allows for a single list of ingredients common to all products in an assortment (e.g., eyeshadows of different colors), with a statement identifying the other ingredients and specifying which products contain them, provided the list is not misleading and is as informative as practicable [11].  
21 CFR 701.3(o)(2) permits a single ingredient list for products sold together in the same package if the total surface area available for labeling is less than 12 square inches [12].  
The available regulatory sources do not provide enough information to determine whether "may contain" statements can be used for colorants specifically, as no provision addresses colorant presence or absence. However, since the question involves a single brand with multiple shades and common formulation, the conditions in 701.3(g)(2)(iii) and (o)(1) support the use of one ingredient list with "may contain" if all products share the same brand name and no individual shade has a different trade name [3][11].  
Note: The requirement that the declaration must be conspicuous, in letters not less than 1/16 inch, applies generally to all ingredient declarations [1], but does not restrict the use of "may contain" for colorants.
21 CFR 701.30: not found in the available eCFR data.
21 CFR 701.3(i)(2) (eCFR, binding, verbatim): (2) The cosmetic products are “shaded” products, i.e., those falling within the product categories identified in § 720.4 (c)(3), (7) and (8)(v) of this chapter, and are held for sale in tightly compartmented trays or racks. The holder of the labeling bearing the declaration of ingredients shall be attached to a display chart bearing samples of the product shades, which is displayed to purchasers. Such a display chart shall be of such construction and design as to permit its continuous use as a display, such as on a counter, and shall be designed for the primary purpose of displaying samples of the shades of the products [5].
21 CFR 701.3(k) (eCFR, binding, verbatim): (k) Any use of a display unit or chart bearing labeling under the provisions of paragraph (i) of this section shall meet the following requirements: [6].
21 CFR 701.3(k)(4) (eCFR, binding, verbatim): (4) Any labeling containing a declaration of ingredients which reflects a formulation change and not shipped accompanying a display unit or chart shall be dated. Whenever any formulation change is made, and the labeling containing the declaration of ingredients is thereby required to be used in conjunction with products of both the old and new formulations, the labeling shall declare the ingredients of both the old and new formulations separately in a way that is not misleading and in a way that permits the purchaser to identify the ingredient declaration applicable to each package, or which clearly advises the purchaser that the formulation has been changed and that either declaration may be applicable [7].
21 CFR 701.3(k)(5) (eCFR, binding, verbatim): (5) Sufficient copies of the declaration of ingredients shall be provided with each shipment of a cosmetic so that a purchaser may obtain a copy of the declaration with each purchase. Display units and replacement labeling for display units shall be accompanied by instructions to the retailer, which when followed will result in compliance with the requirements of this section. Copies of the declaration accompanying refills shall be attached to the specific refill items to which they pertain, or shall be packed with the specific refill items to which they pertain, in a container that does not contain other cosmetic products [8].
21 CFR 701.3(m) (eCFR, binding, verbatim): (m) In the event that there is a current or anticipated shortage of a cosmetic ingredient, the declaration required by this section may specify alternatives to any ingredients that may be affected. An alternative ingredient shall be declared either (1) immediately following the normally used ingredient for which it substitutes, in which case it shall be identified as an alternative ingredient by the word “or” following the name of the normally used ingredient and any other alternative ingredient, or (2) following the declaration of all normally used ingredients, in which case the alternative ingredients in the group so listed shall be listed in expected descending order of predominance or in accordance with the provisions of paragraph (f) of this section and shall be identified as alternative ingredients by the phrase “may also contain”. This paragraph is inapplicable to any ingredient mentioned in advertising, or in labeling other than in the declaration of ingredients required by this section [9].
Evidence limit: not all of the retrieved text of 21 CFR 701.3 and 21 CFR 701.30 fit in the evidence supplied for this answer (58 paragraphs left out). The answer above does not cover that text; consult the full provisions.</t>
        </is>
      </c>
      <c r="D24" s="2" t="inlineStr">
        <is>
          <t>PARTIALLY FAIL</t>
        </is>
      </c>
      <c r="E24" s="2" t="inlineStr">
        <is>
          <t>Gives only the common-brand condition of (g)(2)(iii). It omits (g)(2)(i) same-use similar products, (ii) the shaded 720.4(c)(3) category and (iv) the color-additive limit, and it omits (g)(1) entirely. It frames 'may contain' as allowed for any ingredient not present, and wrongly says no provision addresses colorants, although (g) does exactly that.</t>
        </is>
      </c>
      <c r="F24" s="2" t="inlineStr">
        <is>
          <t>§ 701.3(g)(2) allows 'may contain' when (i) one declaration covers similar products with the same use, (ii) they are shaded products in the § 720.4(c)(3), (7) or (8)(v) categories, (iii) all are sold under a common trade name or brand with no non-common name in labeling, and (iv) the ingredient is a color additive. (g)(1) also allows it for color additives added to some batches for color matching.</t>
        </is>
      </c>
      <c r="G24" s="3" t="n">
        <v>96.2</v>
      </c>
      <c r="H24" s="2" t="n">
        <v>2811</v>
      </c>
      <c r="I24" s="2" t="n">
        <v>619</v>
      </c>
      <c r="J24" s="2" t="inlineStr">
        <is>
          <t>Execution failure: inspect serve_ui.log and the measurement record for this question, then re-run it as a separately labelled attempt.</t>
        </is>
      </c>
      <c r="K24" s="2" t="inlineStr">
        <is>
          <t>Generated answer</t>
        </is>
      </c>
      <c r="L24" s="2" t="inlineStr">
        <is>
          <t>701</t>
        </is>
      </c>
    </row>
    <row r="25">
      <c r="A25" s="2" t="inlineStr">
        <is>
          <t>COS-701.11-Q1</t>
        </is>
      </c>
      <c r="B25" s="2" t="inlineStr">
        <is>
          <t>Our product is named 'Midnight Muse.' Is that enough as the statement of identity on the front panel?</t>
        </is>
      </c>
      <c r="C25" s="2" t="inlineStr">
        <is>
          <t>The name "Midnight Muse" is not sufficient as a statement of identity on the front panel of a cosmetic product because 21 CFR 701.11(b) requires the statement of identity to be either the common or usual name of the cosmetic, an appropriately descriptive name, a fanciful name understood by the public when the nature of the cosmetic is obvious, or an appropriate illustration or vignette. The provision does not establish that "Midnight Muse" meets any of these criteria, and no source confirms that such a name qualifies as a fanciful name understood by the public [4]. The requirement for the statement of identity to be presented in bold type and in a size reasonably related to the most prominent printed matter on the panel applies, but does not establish acceptance of "Midnight Muse" as an identity [1].
The common or usual name of the cosmetic shall be used as the statement of identity [3].  
An appropriately descriptive name or, when the nature of the cosmetic is obvious, a fanciful name understood by the public to identify such cosmetic may be used [4].  
An appropriate illustration or vignette representing the intended cosmetic use may serve as the statement of identity [5].  
The available regulatory sources do not provide enough information to determine whether "Midnight Muse" qualifies as a fanciful name understood by the public in this context.</t>
        </is>
      </c>
      <c r="D25" s="2" t="inlineStr">
        <is>
          <t>PARTIALLY FAIL</t>
        </is>
      </c>
      <c r="E25" s="2" t="inlineStr">
        <is>
          <t>It opens by saying flatly that 'Midnight Muse' is not sufficient and then contradicts itself. The key says the name works if the product's nature is obvious. The bold-type and size requirement is cited to 701.11(a) but is in (c), and (b)(1) is misstated as 'shall be used'.</t>
        </is>
      </c>
      <c r="F25" s="2" t="inlineStr">
        <is>
          <t>§ 701.11(a): the PDP must bear a statement of identity as one of its principal features. (b): it may be (1) the common or usual name; (2) an appropriately descriptive name or, where the nature of the cosmetic is obvious, a fanciful name understood by the public to identify it; or (3) an appropriate illustration or vignette of intended use. 'Midnight Muse' works only if the product's nature is obvious.</t>
        </is>
      </c>
      <c r="G25" s="3" t="n">
        <v>45.9</v>
      </c>
      <c r="H25" s="2" t="n">
        <v>1767</v>
      </c>
      <c r="I25" s="2" t="n">
        <v>277</v>
      </c>
      <c r="J25" s="2" t="inlineStr">
        <is>
          <t>Execution failure: inspect serve_ui.log and the measurement record for this question, then re-run it as a separately labelled attempt.</t>
        </is>
      </c>
      <c r="K25" s="2" t="inlineStr">
        <is>
          <t>Generated answer</t>
        </is>
      </c>
      <c r="L25" s="2" t="inlineStr">
        <is>
          <t>701</t>
        </is>
      </c>
    </row>
    <row r="26">
      <c r="A26" s="2" t="inlineStr">
        <is>
          <t>COS-710.3-Q1</t>
        </is>
      </c>
      <c r="B26" s="2" t="inlineStr">
        <is>
          <t>How does § 710.3 say to register a cosmetic establishment?</t>
        </is>
      </c>
      <c r="C26" s="2" t="inlineStr">
        <is>
          <t>To register a cosmetic establishment, an entity must obtain Form FD-2511 (“Registration of Cosmetic Product Establishment”) from the Food and Drug Administration at 5001 Campus Dr., College Park, MD 20740, or from any FDA district office, and then mail the completed form to Cosmetic Product Establishment Registration, Food and Drug Administration, 5001 Campus Dr., College Park, MD 20740 [1].
Form FD-2511 is the required form for registering a cosmetic establishment [1].</t>
        </is>
      </c>
      <c r="D26" s="2" t="inlineStr">
        <is>
          <t>PARTIALLY FAIL</t>
        </is>
      </c>
      <c r="E26" s="2" t="inlineStr">
        <is>
          <t>Accurately describes 710.3: Form FD-2511, where to obtain it and where to mail it. It omits the key element that this is a voluntary program FDA stopped accepting in March 2023, and calls FD-2511 'the required form', which could mislead a user into treating it as a current, mandatory registration route.</t>
        </is>
      </c>
      <c r="F26" s="2" t="inlineStr">
        <is>
          <t>§ 710.3: use Form FD-2511, 'Registration of Cosmetic Product Establishment,' obtainable from FDA, 5001 Campus Dr., College Park, MD 20740, or any FDA district office, and mail the completed form to Cosmetic Product Establishment Registration at that address. This is the voluntary program; FDA stopped accepting its submissions in March 2023.</t>
        </is>
      </c>
      <c r="G26" s="3" t="n">
        <v>8.300000000000001</v>
      </c>
      <c r="H26" s="2" t="n">
        <v>851</v>
      </c>
      <c r="I26" s="2" t="n">
        <v>115</v>
      </c>
      <c r="J26" s="2" t="inlineStr">
        <is>
          <t>Execution failure: inspect serve_ui.log and the measurement record for this question, then re-run it as a separately labelled attempt.</t>
        </is>
      </c>
      <c r="K26" s="2" t="inlineStr">
        <is>
          <t>Generated answer</t>
        </is>
      </c>
      <c r="L26" s="2" t="inlineStr">
        <is>
          <t>710</t>
        </is>
      </c>
    </row>
    <row r="27">
      <c r="A27" s="2" t="inlineStr">
        <is>
          <t>COS-710.8-Q1</t>
        </is>
      </c>
      <c r="B27" s="2" t="inlineStr">
        <is>
          <t>Marketing wants to print 'FDA Registered Facility, Reg. No. ____' on our face-cream carton. We did register under Part 710. Can we say that?</t>
        </is>
      </c>
      <c r="C27" s="2" t="inlineStr">
        <is>
          <t>No, marketing cannot print "FDA Registered Facility, Reg. No. ____" on the face-cream carton based solely on registration under Part 710. The regulation does not authorize or require such labeling. While a permanent registration number is assigned to a cosmetic product establishment upon registration [1], the text provides no authorization for the use of the phrase "FDA Registered Facility, Reg. No. ____" on packaging. The provision only states that the Commissioner will provide a validated copy of Form FD-2511 as evidence of registration, and this document is sent to the location shown for the registering establishment [1]. There is no requirement or authorization in 21 CFR 710.6 for such labeling on product cartons.
The available regulatory sources do not provide enough information to answer whether such a statement complies with FDA labeling requirements beyond what is specified in 21 CFR 710.6.</t>
        </is>
      </c>
      <c r="D27" s="2" t="inlineStr">
        <is>
          <t>PARTIALLY FAIL</t>
        </is>
      </c>
      <c r="E27" s="2" t="inlineStr">
        <is>
          <t>Reaches 'No' on the wrong basis: that 710.6 does not authorize the statement. It never surfaces 710.8, under which registration or a registration number does not denote FDA approval and any representation creating that impression is misleading.</t>
        </is>
      </c>
      <c r="F27" s="2" t="inlineStr">
        <is>
          <t>710.8: registration of a cosmetic product establishment or assignment of a registration number does not in any way denote FDA approval of the firm or its products. Any representation in labeling or advertising that creates an impression of official approval because of registration or possession of a registration number will be considered misleading. A claim that creates that impression is the problem.</t>
        </is>
      </c>
      <c r="G27" s="3" t="n">
        <v>11.8</v>
      </c>
      <c r="H27" s="2" t="n">
        <v>864</v>
      </c>
      <c r="I27" s="2" t="n">
        <v>190</v>
      </c>
      <c r="J27" s="2" t="inlineStr">
        <is>
          <t>Execution failure: inspect serve_ui.log and the measurement record for this question, then re-run it as a separately labelled attempt.</t>
        </is>
      </c>
      <c r="K27" s="2" t="inlineStr">
        <is>
          <t>Generated answer</t>
        </is>
      </c>
      <c r="L27" s="2" t="inlineStr">
        <is>
          <t>710</t>
        </is>
      </c>
    </row>
    <row r="28">
      <c r="A28" s="2" t="inlineStr">
        <is>
          <t>COS-720.1-Q1</t>
        </is>
      </c>
      <c r="B28" s="2" t="inlineStr">
        <is>
          <t>We're a private-label brand: a contract manufacturer makes our body wash and we're the distributor on the label. Who is supposed to file the Cosmetic Product Ingredient Statement under Part 720?</t>
        </is>
      </c>
      <c r="C28" s="2" t="inlineStr">
        <is>
          <t>The private-label brand, acting as a distributor of a body wash manufactured by a contract manufacturer, is required to file the Cosmetic Product Ingredient Statement (Form FDA 2512) if they are the distributor of the finished cosmetic product. According to 21 CFR 700.3(b), a "cosmetic product" means a finished cosmetic whose manufacture has been completed. The requirement in 21 CFR 720.1 applies to any manufacturer, packer, or distributor of a cosmetic product, regardless of whether the product enters interstate commerce. Therefore, as the distributor of the body wash, the private-label brand is responsible for filing Form FDA 2512 [1].
21 CFR 700.3(b) defines "cosmetic product" as a finished cosmetic whose manufacture has been completed; this definition confirms that the body wash, having undergone completion of its manufacturing process, qualifies as a cosmetic product under the regulation [2].  
21 CFR  720.1 requires either the manufacturer, packer, or distributor to file Form FDA 2512 for any finished cosmetic product, including those exported for sale in the United States [1].</t>
        </is>
      </c>
      <c r="D28" s="2" t="inlineStr">
        <is>
          <t>PARTIALLY FAIL</t>
        </is>
      </c>
      <c r="E28" s="2" t="inlineStr">
        <is>
          <t>720.1 and 700.3(b) are cited correctly, but the answer turns 720.1's voluntary request into a mandatory duty ('is required to file', 'is responsible for filing') and suggests the distributor is the one obligated, when the key says any of manufacturer, packer or distributor may file. It also leaves out that no filing fee is required.</t>
        </is>
      </c>
      <c r="F28" s="2" t="inlineStr">
        <is>
          <t>720.1: either the manufacturer, packer or distributor of a cosmetic product is requested to file Form FDA 2512 ('Cosmetic Product Ingredient Statement'), whether or not the product enters interstate commerce. The request extends to foreign manufacturers, packers or distributors of products exported for sale in any State. No filing fee is required.</t>
        </is>
      </c>
      <c r="G28" s="3" t="n">
        <v>15.6</v>
      </c>
      <c r="H28" s="2" t="n">
        <v>1035</v>
      </c>
      <c r="I28" s="2" t="n">
        <v>246</v>
      </c>
      <c r="J28" s="2" t="inlineStr">
        <is>
          <t>Execution failure: inspect serve_ui.log and the measurement record for this question, then re-run it as a separately labelled attempt.</t>
        </is>
      </c>
      <c r="K28" s="2" t="inlineStr">
        <is>
          <t>Generated answer</t>
        </is>
      </c>
      <c r="L28" s="2" t="inlineStr">
        <is>
          <t>720</t>
        </is>
      </c>
    </row>
    <row r="29">
      <c r="A29" s="2" t="inlineStr">
        <is>
          <t>COS-720.6-Q1</t>
        </is>
      </c>
      <c r="B29" s="2" t="inlineStr">
        <is>
          <t>We reformulated our sunscreen-free tanning oil (swapped an emollient) and renamed it. Separately we moved our office. How soon should our filed Form 2512 be amended?</t>
        </is>
      </c>
      <c r="C29" s="2" t="inlineStr">
        <is>
          <t>The filed Form 2512 should be amended within 60 days after the reformulated sunscreen-free tanning oil (with swapped emollient) is entered into commercial distribution, because changes to the ingredients or brand name of a cosmetic product require an amended Form FDA 2512 within 60 days of commercial distribution. The renaming of the product constitutes a change in brand name and thus triggers the 60-day amendment requirement. The move of the office does not affect the timing or necessity of the amendment, as it is unrelated to ingredient or brand name changes. No other action is required for the office move.
21 CFR 720.6 requires an amended Form FDA 2512 within 60 days after a cosmetic product's ingredients or brand name changes and it enters commercial distribution [1].  
The requirement applies specifically to changes in ingredient composition or brand name, such as swapping an emollient or renaming the product [1].</t>
        </is>
      </c>
      <c r="D29" s="2" t="inlineStr">
        <is>
          <t>PARTIALLY FAIL</t>
        </is>
      </c>
      <c r="E29" s="2" t="inlineStr">
        <is>
          <t>Correctly gives 60 days after commercial distribution for the ingredient and brand-name changes under 720.6. But it wrongly says the office move needs no action, when 720.6 says other changes such as the address should be shown on an amended Form 2512 within one year.</t>
        </is>
      </c>
      <c r="F29" s="2" t="inlineStr">
        <is>
          <t>720.6: changes in information under 720.4(a)(3) and (a)(5) (brand name or ingredients) should be submitted by amended Form FDA 2512 within 60 days after the product is entered into commercial distribution. Other changes, such as the address, do not justify immediate amendment but should be shown by an amended Form 2512 within a year after the changes.</t>
        </is>
      </c>
      <c r="G29" s="3" t="n">
        <v>36.7</v>
      </c>
      <c r="H29" s="2" t="n">
        <v>1313</v>
      </c>
      <c r="I29" s="2" t="n">
        <v>199</v>
      </c>
      <c r="J29" s="2" t="inlineStr">
        <is>
          <t>Execution failure: inspect serve_ui.log and the measurement record for this question, then re-run it as a separately labelled attempt.</t>
        </is>
      </c>
      <c r="K29" s="2" t="inlineStr">
        <is>
          <t>Generated answer</t>
        </is>
      </c>
      <c r="L29" s="2" t="inlineStr">
        <is>
          <t>720</t>
        </is>
      </c>
    </row>
    <row r="30">
      <c r="A30" s="2" t="inlineStr">
        <is>
          <t>COS-740.17-Q1</t>
        </is>
      </c>
      <c r="B30" s="2" t="inlineStr">
        <is>
          <t>We're launching a kids' bubble bath with a foaming surfactant. What must the label say?</t>
        </is>
      </c>
      <c r="C30" s="2" t="inlineStr">
        <is>
          <t>The label of a kids' bubble bath containing a foaming surfactant must include the caution: "Use only as directed. Excessive use or prolonged exposure may cause irritation to skin and urinary tract. Discontinue use if rash, redness, or itching occurs. Consult your physician if irritation persists. Keep out of reach of children." Additionally, for products intended for use by children, the phrase “except under adult supervision” may be added at the end of that caution. These requirements apply except for products labeled as intended for use exclusively by adults [2], and the addition of "except under adult supervision" is only permitted when the product is intended for use by children [4].
The label must bear adequate directions for safe use and the following caution:  
Caution—Use only as directed. Keep out of reach of children [3].  
For a kids' bubble bath intended for use by children, the phrase “except under adult supervision” may be added at the end of the caution required in paragraph (b) [4].</t>
        </is>
      </c>
      <c r="D30" s="2" t="inlineStr">
        <is>
          <t>PARTIALLY FAIL</t>
        </is>
      </c>
      <c r="E30" s="2" t="inlineStr">
        <is>
          <t>The first paragraph gives the full 740.17(b) caution and the optional 'except under adult supervision' wording from (c). The second paragraph then says this kids' product must bear a shortened caution ('Use only as directed. Keep out of reach of children'), which contradicts the first and misstates the required warning.</t>
        </is>
      </c>
      <c r="F30" s="2" t="inlineStr">
        <is>
          <t>Under 740.17(a)-(b), the label must bear adequate directions for safe use and: 'Caution—Use only as directed. Excessive use or prolonged exposure may cause irritation to skin and urinary tract. Discontinue use if rash, redness, or itching occurs. Consult your physician if irritation persists. Keep out of reach of children.' For children's products, (c) allows adding 'except under adult supervision' at the end.</t>
        </is>
      </c>
      <c r="G30" s="3" t="n">
        <v>25.7</v>
      </c>
      <c r="H30" s="2" t="n">
        <v>1167</v>
      </c>
      <c r="I30" s="2" t="n">
        <v>245</v>
      </c>
      <c r="J30" s="2" t="inlineStr">
        <is>
          <t>Execution failure: inspect serve_ui.log and the measurement record for this question, then re-run it as a separately labelled attempt.</t>
        </is>
      </c>
      <c r="K30" s="2" t="inlineStr">
        <is>
          <t>Generated answer</t>
        </is>
      </c>
      <c r="L30" s="2" t="inlineStr">
        <is>
          <t>740</t>
        </is>
      </c>
    </row>
    <row r="31">
      <c r="A31" s="2" t="inlineStr">
        <is>
          <t>COS-FDCA608-Q1</t>
        </is>
      </c>
      <c r="B31" s="2" t="inlineStr">
        <is>
          <t>We're the brand owner of a new face serum made by a contract lab. What does the FD&amp;C Act require us to have on safety before and while we market it?</t>
        </is>
      </c>
      <c r="C31" s="2" t="inlineStr">
        <is>
          <t>The FD&amp;C Act requires that a brand owner of a face serum made by a contract lab ensure and maintain records supporting adequate substantiation of safety of the product before and while marketing it. This includes maintaining evidence that the product is safe under the conditions of use prescribed in the labeling or customary/usual conditions, where "safe" means not injurious to users, and minor transient reactions do not constitute injury. The requirement for adequate substantiation of safety involves tests, studies, research, analyses, or other evidence considered sufficient by experts qualified by scientific training and experience to evaluate the safety of cosmetic products and their ingredients. The requirement may consider cumulative or relevant exposure to the product or ingredient when determining safety. 
FD&amp;C Act § 608(a) [21 U.S.C. 364d(a)] requires a responsible person for a cosmetic product to ensure and maintain records supporting adequate substantiation of safety of such product.  
FD&amp;C Act § 608(c)(1) [21 U.S.C. 364d(c)(1)] defines "adequate substantiation of safety" as tests or studies, research, analyses, or other evidence considered sufficient by experts qualified by scientific training and experience to evaluate the safety of cosmetic products and their ingredients.  
FD&amp;C Act § 608(c)(2) [21 U.S.C. 364d(c)(2)] defines "safe" as meaning the product is not injurious under the conditions of use prescribed in labeling or customary/usual conditions, and the Secretary shall not consider a cosmetic ingredient or product injurious solely because it causes minor and transient reactions or irritations in some users.  
FD&amp;C Act § 608(c)(3) [21 U.S.C. 364d(c)] allows consideration of cumulative or other relevant exposure to the cosmetic product, including any ingredient, when determining whether a product is safe.  
The requirement does not apply to coal-tar hair dye if it otherwise complies with section 361(a), as specified in FD&amp;C Act § 608(b) [21 U.S.C. 364d(b)].  
The responsible person for the face serum, defined as the manufacturer, packer, or distributor whose name appears on the label, is required to maintain records supporting safety substantiation, per FD&amp;C Act § 604(4) [21 U.S.C. 364(4)].</t>
        </is>
      </c>
      <c r="D31" s="2" t="inlineStr">
        <is>
          <t>PARTIALLY FAIL</t>
        </is>
      </c>
      <c r="E31" s="2" t="inlineStr">
        <is>
          <t>Cites '608(c)(3)', which does not exist; the cumulative-exposure text sits in 608(c)(2). The (c)(1) paraphrase drops the governing 'sufficient to support a reasonable certainty that the product is safe' standard. The answer also omits that a product lacking substantiation is adulterated under 601(g), a key element.</t>
        </is>
      </c>
      <c r="F31" s="2" t="inlineStr">
        <is>
          <t>608(a): the responsible person shall ensure, and maintain records supporting, that there is adequate substantiation of safety of the product. 608(c)(1): tests or studies, research, analyses, or other evidence or information considered, among qualified experts, sufficient to support a reasonable certainty that the product is safe. Without it the product is adulterated under 601(g). No specific test is mandated.</t>
        </is>
      </c>
      <c r="G31" s="3" t="n">
        <v>63.2</v>
      </c>
      <c r="H31" s="2" t="n">
        <v>2043</v>
      </c>
      <c r="I31" s="2" t="n">
        <v>508</v>
      </c>
      <c r="J31" s="2" t="inlineStr">
        <is>
          <t>Execution failure: inspect serve_ui.log and the measurement record for this question, then re-run it as a separately labelled attempt.</t>
        </is>
      </c>
      <c r="K31" s="2" t="inlineStr">
        <is>
          <t>Generated answer</t>
        </is>
      </c>
      <c r="L31" s="2" t="inlineStr">
        <is>
          <t>FDCA</t>
        </is>
      </c>
    </row>
    <row r="32">
      <c r="A32" s="2" t="inlineStr">
        <is>
          <t>COS-FDCA611-Q1</t>
        </is>
      </c>
      <c r="B32" s="2" t="inlineStr">
        <is>
          <t>FDA says our talc body powder may be adulterated and could cause serious harm. Can FDA force us to stop distribution or recall?</t>
        </is>
      </c>
      <c r="C32" s="2" t="inlineStr">
        <is>
          <t>Yes, FDA can force a company to stop distribution or recall talc body powder if the Secretary determines there is a reasonable probability that the product is adulterated or misbranded and use of or exposure to it could cause serious adverse health consequences or death. This authority is granted under FD&amp;C Act § 611(a), which allows the Secretary to issue an order requiring immediate cessation of distribution or recall, even if the responsible person refuses to act voluntarily [1].
The authority to require cessation of distribution or recall is established in FD&amp;C Act § 611(a) [21 U.S.C. 364g(a)], which provides that if the Secretary determines there is a reasonable probability that a cosmetic is adulterated or misbranded and exposure could cause serious adverse health consequences or death, the Secretary may issue an order requiring immediate cessation of distribution or recall, even if the responsible person refuses to act voluntarily [1].
The responsible person must be given an opportunity for an informal hearing within 10 days after the issuance of the order to determine whether adequate evidence justifies the order, as specified in FD&amp;C Act § 611(b) [21 U.S.C. 364g(b)] [2].
If the Secretary issues a recall or distribution cessation order, the responsible person must immediately cease distribution or recall the product and provide notification as required by the order, as mandated in FD&amp;C Act § 611(d) [21 U.S.C. 364g(d)] [4].
The Secretary may also require the responsible person to notify appropriate persons—including manufacturers, distributors, importers, and retailers—and the public about the recall or cessation of distribution, as specified in FD&amp;C Act § 611(e) [21 U.S.C. 364g(e)] [5].
In conducting a recall, the Secretary shall ensure that a press release is published and alerts are issued to consumers and retailers, including details such as the name of the product, description of the risk, and information about similar non-affected products, as required in FD&amp;C Act § 611(f) [21 U.S.C. 364g(f)] [6].
The authority to issue a recall order is not delegated; it must be exercised by the Commissioner, as stated in FD&amp;C Act § 611(g) [21 U.S.C. 364g(g)] [7].
Nothing in this section limits or affects the Secretary’s ability to request or participate in a voluntary recall, or to issue an order under any other provision of the subchapter, per FD&amp;C Act § 611(h) [21 U.S.C. 364g(h)] [8].</t>
        </is>
      </c>
      <c r="D32" s="2" t="inlineStr">
        <is>
          <t>PARTIALLY FAIL</t>
        </is>
      </c>
      <c r="E32" s="2" t="inlineStr">
        <is>
          <t>Misreads 611(a). The answer says FDA may order cessation 'or recall' 'even if' the person refuses, but the key says the responsible person must first get a chance to stop distribution and recall voluntarily. Only if it refuses or fails to act in time can FDA order distribution stopped, and recall comes by amended order after the hearing under 611(c), which the answer skips. The 10-day hearing in 611(b) is correct.</t>
        </is>
      </c>
      <c r="F32" s="2" t="inlineStr">
        <is>
          <t>611(a): if the Secretary determines a reasonable probability that a cosmetic is adulterated or misbranded and its use or exposure will cause serious adverse health consequences or death, the responsible person first gets an opportunity to voluntarily cease distribution and recall; if it refuses or does not do so in the time and manner prescribed, the Secretary may order immediate cessation of distribution. (b): informal hearing within 10 days.</t>
        </is>
      </c>
      <c r="G32" s="3" t="n">
        <v>80.7</v>
      </c>
      <c r="H32" s="2" t="n">
        <v>2935</v>
      </c>
      <c r="I32" s="2" t="n">
        <v>568</v>
      </c>
      <c r="J32" s="2" t="inlineStr">
        <is>
          <t>Execution failure: inspect serve_ui.log and the measurement record for this question, then re-run it as a separately labelled attempt.</t>
        </is>
      </c>
      <c r="K32" s="2" t="inlineStr">
        <is>
          <t>Generated answer</t>
        </is>
      </c>
      <c r="L32" s="2" t="inlineStr">
        <is>
          <t>FDCA</t>
        </is>
      </c>
    </row>
    <row r="33">
      <c r="A33" s="2" t="inlineStr">
        <is>
          <t>UC-COS-024</t>
        </is>
      </c>
      <c r="B33" s="2" t="inlineStr">
        <is>
          <t>Our product contains beef tallow. What records must we keep to show the cattle material is acceptable, and must we hold lots in quarantine until verified?</t>
        </is>
      </c>
      <c r="C33" s="2" t="inlineStr">
        <is>
          <t>To show that beef tallow is acceptable for use in a cosmetic product, manufacturers must establish and maintain records sufficient to demonstrate that the tallow contains no more than 0.15 percent insoluble impurities as determined by AOCS Official Method Ca 3a-46 or an equivalent method, and that it is not derived from prohibited cattle materials. These records must be retained for 2 years after creation. When filing entry with U.S. Customs and Border Protection, the importer of record must affirm that the cosmetic was manufactured from, processed with, or otherwise contains cattle material and was manufactured in accordance with this section, and if requested, must provide records within five days to demonstrate the absence of prohibited cattle materials. The evidence does not contain any requirement to hold lots in quarantine until verified.
21 CFR 700.27(a)(6) requires tallow to be produced from tissues that are not prohibited cattle materials or must contain no more than 0.15 percent insoluble impurities as determined by AOCS Official Method Ca 3a-46 or an equivalent method [8].  
21 CFR 700.27(c)(1) requires manufacturers and processors of a cosmetic that is manufactured from, processed with, or otherwise contains material from cattle to establish and maintain records sufficient to demonstrate that the cosmetic is not manufactured from, processed with, or does not otherwise contain prohibited cattle materials [14].  
21 CFR 700.27(c)(2) requires that such records must be retained for 2 years after the date they were created [15].  
21 CFR 700.27(c)(6) requires, when filing entry with U.S. Customs and Border Protection, that the importer of record affirm that the cosmetic was manufactured from, processed with, or otherwise contains cattle material and was manufactured in accordance with this section, and if requested, must provide records within five days to demonstrate the absence of prohibited cattle materials [17].
Evidence limit: not all of the retrieved text of 21 CFR 700.27 fit in the evidence supplied for this answer (7 paragraphs left out). The answer above does not cover that text; consult the full provisions.</t>
        </is>
      </c>
      <c r="D33" s="2" t="inlineStr">
        <is>
          <t>PARTIALLY FAIL</t>
        </is>
      </c>
      <c r="E33" s="2" t="inlineStr">
        <is>
          <t>Correctly covers 700.27(c)(1) records, 2-year retention, the importer's 5-day production of records, and the absence of any quarantine requirement. But the summary says records must show the tallow is under 0.15% insoluble impurities AND from non-prohibited tissue, when (a)(6) says OR. It also omits the record-location and FDA inspection-and-copying requirements in (c), and the 700.27(d)/601(c) adulteration consequence.</t>
        </is>
      </c>
      <c r="F33" s="2" t="inlineStr">
        <is>
          <t>700.27(c): manufacturers/processors of cosmetics made from or containing cattle material must establish and maintain records sufficient to demonstrate the cosmetic is not made from prohibited cattle materials; retain 2 years after creation; keep at site or reasonably accessible location; available to FDA for inspection and copying; importers provide records within 5 days on request. No codified quarantine/hold requirement. Noncompliance adulterates (700.27(d), 601(c)).</t>
        </is>
      </c>
      <c r="G33" s="3" t="n">
        <v>72.5</v>
      </c>
      <c r="H33" s="2" t="n">
        <v>3506</v>
      </c>
      <c r="I33" s="2" t="n">
        <v>410</v>
      </c>
      <c r="J33" s="2" t="inlineStr">
        <is>
          <t>Execution failure: inspect serve_ui.log and the measurement record for this question, then re-run it as a separately labelled attempt.</t>
        </is>
      </c>
      <c r="K33" s="2" t="inlineStr">
        <is>
          <t>Generated answer</t>
        </is>
      </c>
      <c r="L33" s="2" t="inlineStr"/>
    </row>
    <row r="34">
      <c r="A34" s="2" t="inlineStr">
        <is>
          <t>UC-COS-004</t>
        </is>
      </c>
      <c r="B34" s="2" t="inlineStr">
        <is>
          <t>Do our mixers, homogenizers and filling machines for lotions need to be FDA 'certified' before we use them?</t>
        </is>
      </c>
      <c r="C34" s="2" t="inlineStr">
        <is>
          <t>No, your mixers, homogenizers, and filling machines for lotions do not need to be FDA "certified" before use. The available regulatory sources do not provide enough information to answer this question regarding the certification of equipment for lotion production.</t>
        </is>
      </c>
      <c r="D34" s="2" t="inlineStr">
        <is>
          <t>PARTIALLY FAIL</t>
        </is>
      </c>
      <c r="E34" s="2" t="inlineStr">
        <is>
          <t>Correctly says no FDA certification is needed, but gives no citation and then contradicts itself by declining. Omits that 606 GMP rules have not been issued, that FDA does not certify equipment, and the 601(c)/601(a) insanitary-conditions and deleterious-substance duties.</t>
        </is>
      </c>
      <c r="F34" s="2" t="inlineStr">
        <is>
          <t>Must say no FDA equipment certification, qualification or calibration requirement for cosmetics is codified in Title 21; 606 GMP rule not yet issued. FDA does not certify equipment. What applies: product must not be prepared under insanitary conditions (601(c)) or contain deleterious substances (601(a)); equipment cleanliness supports this. No compliance guarantee.</t>
        </is>
      </c>
      <c r="G34" s="3" t="n">
        <v>33.8</v>
      </c>
      <c r="H34" s="2" t="n">
        <v>1800</v>
      </c>
      <c r="I34" s="2" t="n">
        <v>52</v>
      </c>
      <c r="J34" s="2" t="inlineStr">
        <is>
          <t>Execution failure: inspect serve_ui.log and the measurement record for this question, then re-run it as a separately labelled attempt.</t>
        </is>
      </c>
      <c r="K34" s="2" t="inlineStr">
        <is>
          <t>Generated answer</t>
        </is>
      </c>
      <c r="L34" s="2" t="inlineStr"/>
    </row>
    <row r="35">
      <c r="A35" s="2" t="inlineStr">
        <is>
          <t>UC-COS-012</t>
        </is>
      </c>
      <c r="B35" s="2" t="inlineStr">
        <is>
          <t>What pest-control records (trap maps, service reports, pesticide logs) does FDA require a cosmetics contract manufacturer to keep, and for how long?</t>
        </is>
      </c>
      <c r="C35" s="2" t="inlineStr">
        <is>
          <t>FDA does not require a cosmetics contract manufacturer to keep pest-control records such as trap maps, service reports, or pesticide logs under 21 CFR 700.27.
The available regulatory sources do not provide enough information to answer this.  
[1] (Note: The provided evidence focuses exclusively on prohibited cattle materials, recordkeeping related to cattle material usage, and retention of records for compliance with the use of such materials. There is no mention of pest-control records, trap maps, service reports, or pesticide logs in any part of 21 CFR 700.27.)
Evidence limit: not all of the retrieved text of 21 CFR 700.27 fit in the evidence supplied for this answer (6 paragraphs left out). The answer above does not cover that text; consult the full provisions.</t>
        </is>
      </c>
      <c r="D35" s="2" t="inlineStr">
        <is>
          <t>PARTIALLY FAIL</t>
        </is>
      </c>
      <c r="E35" s="2" t="inlineStr">
        <is>
          <t>Says no pest-control records are required, but grounds this only in 21 CFR 700.27 (cattle materials), an irrelevant section, and then declines. Omits 606 GMP status, the absence of a retention period, the 601(c) context and 610 records access.</t>
        </is>
      </c>
      <c r="F35" s="2" t="inlineStr">
        <is>
          <t>Correct answer: none codified; no retention period. No 606 GMP regulation proposed/final as of Oct 2026. Such records are voluntary evidence against 601(c) insanitary-conditions findings. Under 610, FDA may access records related to the product when it reasonably believes adulteration presents threat of SAHCOD. Must not invent a requirement.</t>
        </is>
      </c>
      <c r="G35" s="3" t="n">
        <v>30.9</v>
      </c>
      <c r="H35" s="2" t="n">
        <v>3035</v>
      </c>
      <c r="I35" s="2" t="n">
        <v>123</v>
      </c>
      <c r="J35" s="2" t="inlineStr">
        <is>
          <t>Execution failure: inspect serve_ui.log and the measurement record for this question, then re-run it as a separately labelled attempt.</t>
        </is>
      </c>
      <c r="K35" s="2" t="inlineStr">
        <is>
          <t>Generated answer</t>
        </is>
      </c>
      <c r="L35" s="2" t="inlineStr"/>
    </row>
    <row r="36">
      <c r="A36" s="2" t="inlineStr">
        <is>
          <t>COS-70.3-Q2</t>
        </is>
      </c>
      <c r="B36" s="2" t="inlineStr">
        <is>
          <t>Our pigment supplier sells us a 'D&amp;C Red lake blend' in a castor-oil carrier. How do FDA's definitions classify the lake, the blend and the oil?</t>
        </is>
      </c>
      <c r="C36" s="2" t="inlineStr">
        <is>
          <t>The generated answer could not be validated against the retrieved regulatory evidence, so it is not shown. The retrieved sources were not verified to answer the question as asked, so their text is not quoted as an answer. Sources consulted: 21 CFR 82.1051(a)(1), 21 CFR 82.1051(a)(2), 21 CFR 82.1051(b), 21 CFR 82.1051(b)(1), 21 CFR 82.1051(b)(2) and 3 more.</t>
        </is>
      </c>
      <c r="D36" s="2" t="inlineStr">
        <is>
          <t>FAIL</t>
        </is>
      </c>
      <c r="E36" s="2" t="inlineStr">
        <is>
          <t>Withheld, so there is no substantive answer. The sources it consulted were 82.1051, not the key's 70.3(j), (k), (l) and (m) definitions of lake, mixture and diluent.</t>
        </is>
      </c>
      <c r="F36" s="2" t="inlineStr">
        <is>
          <t>70.3(l): a lake is a straight color extended on a substratum by adsorption, coprecipitation or chemical combination, not simple mixing. (j): straight colors (listed in parts 73, 74 and 81) include lakes. (k): a mixture is two or more straight colors, or straight colors plus diluents. (m): the castor oil, if not itself a color additive and intentionally mixed to facilitate use, is a diluent.</t>
        </is>
      </c>
      <c r="G36" s="3" t="n">
        <v>97.7</v>
      </c>
      <c r="H36" s="2" t="n">
        <v>2013</v>
      </c>
      <c r="I36" s="2" t="n">
        <v>901</v>
      </c>
      <c r="J36" s="2" t="inlineStr">
        <is>
          <t>Execution failure: inspect serve_ui.log and the measurement record for this question, then re-run it as a separately labelled attempt.</t>
        </is>
      </c>
      <c r="K36" s="2" t="inlineStr">
        <is>
          <t>Withheld by validator (no answer shown)</t>
        </is>
      </c>
      <c r="L36" s="2" t="inlineStr">
        <is>
          <t>70</t>
        </is>
      </c>
    </row>
    <row r="37">
      <c r="A37" s="2" t="inlineStr">
        <is>
          <t>COS-70.10-Q1</t>
        </is>
      </c>
      <c r="B37" s="2" t="inlineStr">
        <is>
          <t>Our cosmetics company is filing a new drug application for a tinted acne gel that uses an unlisted colorant purely for color. Does Part 70 say anything about that?</t>
        </is>
      </c>
      <c r="C37" s="2" t="inlineStr">
        <is>
          <t>The generated answer could not be validated against the retrieved regulatory evidence, so it is not shown. The retrieved sources were not verified to answer the question as asked, so their text is not quoted as an answer. Sources consulted: 21 CFR 70.10(a), 21 CFR 70.10(a)(1), 21 CFR 70.10(a)(2), 21 CFR 70.10(a)(3), 21 CFR 70.10(b) and 3 more.</t>
        </is>
      </c>
      <c r="D37" s="2" t="inlineStr">
        <is>
          <t>FAIL</t>
        </is>
      </c>
      <c r="E37" s="2" t="inlineStr">
        <is>
          <t>Withheld, so there is no substantive answer. It never states the 70.10(b)(1)-(3) NDA color-additive rules (part 71 safety data, inferential proposal, filing date).</t>
        </is>
      </c>
      <c r="F37" s="2" t="inlineStr">
        <is>
          <t>Yes. 70.10(b)(1): if a new drug application proposes a color additive for coloring purposes only, part 71 safety-information requirements apply unless previously submitted or safety for that use is established. (b)(2): if the application inferentially proposes a color additive without designating it, the Commissioner notifies the applicant and proceeds under part 71. (b)(3): the color additive petition's filing date is the new drug application's filing date.</t>
        </is>
      </c>
      <c r="G37" s="3" t="n">
        <v>60.1</v>
      </c>
      <c r="H37" s="2" t="n">
        <v>1929</v>
      </c>
      <c r="I37" s="2" t="n">
        <v>565</v>
      </c>
      <c r="J37" s="2" t="inlineStr">
        <is>
          <t>Execution failure: inspect serve_ui.log and the measurement record for this question, then re-run it as a separately labelled attempt.</t>
        </is>
      </c>
      <c r="K37" s="2" t="inlineStr">
        <is>
          <t>Withheld by validator (no answer shown)</t>
        </is>
      </c>
      <c r="L37" s="2" t="inlineStr">
        <is>
          <t>70</t>
        </is>
      </c>
    </row>
    <row r="38">
      <c r="A38" s="2" t="inlineStr">
        <is>
          <t>COS-70.19-Q1</t>
        </is>
      </c>
      <c r="B38" s="2" t="inlineStr">
        <is>
          <t>We're petitioning to list a new colorant for cosmetics only. What deposit is due, and what if we withdraw?</t>
        </is>
      </c>
      <c r="C38" s="2" t="inlineStr">
        <is>
          <t>The generated answer could not be validated against the retrieved regulatory evidence, so it is not shown. The retrieved sources were not verified to answer the question as asked, so their text is not quoted as an answer. Sources consulted: 21 CFR 70.19(a), 21 CFR 70.19(b), 21 CFR 70.19(c), 21 CFR 70.19(d), 21 CFR 70.19(e) and 13 more.</t>
        </is>
      </c>
      <c r="D38" s="2" t="inlineStr">
        <is>
          <t>FAIL</t>
        </is>
      </c>
      <c r="E38" s="2" t="inlineStr">
        <is>
          <t>Withheld. It does not give the $2,600 deposit or the withdrawal refunds and resubmission fees in 70.19(c)-(h).</t>
        </is>
      </c>
      <c r="F38" s="2" t="inlineStr">
        <is>
          <t>70.19(c): $2,600.00 for drugs and/or cosmetics only (vs. $3,000.00 general or foods only under (a)-(b)), regardless of tolerances or restrictions (d). Withdrawal before acceptance: refund less $600.00 clerical fee (e). Withdrawal within 30 days after filing: refund reduced by $1,600.00 for (c) petitions (f). Resubmission within 6 months of a post-filing withdrawal: $1,600.00 for (c); later, full deposit (g). Resubmission after pre-acceptance withdrawal: full new deposit (h).</t>
        </is>
      </c>
      <c r="G38" s="3" t="n">
        <v>135.6</v>
      </c>
      <c r="H38" s="2" t="n">
        <v>3035</v>
      </c>
      <c r="I38" s="2" t="n">
        <v>1189</v>
      </c>
      <c r="J38" s="2" t="inlineStr">
        <is>
          <t>Execution failure: inspect serve_ui.log and the measurement record for this question, then re-run it as a separately labelled attempt.</t>
        </is>
      </c>
      <c r="K38" s="2" t="inlineStr">
        <is>
          <t>Withheld by validator (no answer shown)</t>
        </is>
      </c>
      <c r="L38" s="2" t="inlineStr">
        <is>
          <t>70</t>
        </is>
      </c>
    </row>
    <row r="39">
      <c r="A39" s="2" t="inlineStr">
        <is>
          <t>COS-70.45-Q1</t>
        </is>
      </c>
      <c r="B39" s="2" t="inlineStr">
        <is>
          <t>Our cosmetic use is in a petition alongside food uses, but the data don't show all uses would be safe at the levels proposed. What happens?</t>
        </is>
      </c>
      <c r="C39" s="2" t="inlineStr">
        <is>
          <t>The generated answer could not be validated against the retrieved regulatory evidence, so it is not shown. The retrieved sources were not verified to answer the question as asked, so their text is not quoted as an answer. Sources consulted: 21 CFR 740.10(a), 21 CFR 740.10(b), 21 CFR 740.10(b)(1), 21 CFR 740.10(b)(2), 21 CFR 740.10(b)(3) and 1 more.</t>
        </is>
      </c>
      <c r="D39" s="2" t="inlineStr">
        <is>
          <t>FAIL</t>
        </is>
      </c>
      <c r="E39" s="2" t="inlineStr">
        <is>
          <t>Withheld, and the sources consulted were 740.10, which is unrelated. There is no answer on 70.45 allocation of the safe tolerance, the Federal Register call for data or the stayed time limit.</t>
        </is>
      </c>
      <c r="F39" s="2" t="inlineStr">
        <is>
          <t>70.45: if the data fail to show safety for all proposed uses or levels, the Commissioner publishes a Federal Register notice that the safe tolerance must be allocated among competing needs, calling for data from all interested persons under section 721(b)(8). Time for acting is stayed until the data are presented, then runs anew. As promptly as possible, the Commissioner announces the allocation and tolerance limitations by order.</t>
        </is>
      </c>
      <c r="G39" s="3" t="n">
        <v>52.2</v>
      </c>
      <c r="H39" s="2" t="n">
        <v>1465</v>
      </c>
      <c r="I39" s="2" t="n">
        <v>414</v>
      </c>
      <c r="J39" s="2" t="inlineStr">
        <is>
          <t>Execution failure: inspect serve_ui.log and the measurement record for this question, then re-run it as a separately labelled attempt.</t>
        </is>
      </c>
      <c r="K39" s="2" t="inlineStr">
        <is>
          <t>Withheld by validator (no answer shown)</t>
        </is>
      </c>
      <c r="L39" s="2" t="inlineStr">
        <is>
          <t>70</t>
        </is>
      </c>
    </row>
    <row r="40">
      <c r="A40" s="2" t="inlineStr">
        <is>
          <t>COS-71.22-Q1</t>
        </is>
      </c>
      <c r="B40" s="2" t="inlineStr">
        <is>
          <t>Our foundation uses a listed color additive at a higher level to hide discoloration that develops as the product degrades. The color is listed for cosmetics. Is that covered by the listing?</t>
        </is>
      </c>
      <c r="C40" s="2" t="inlineStr">
        <is>
          <t>The generated answer could not be validated against the retrieved regulatory evidence, so it is not shown. The retrieved sources were not verified to answer the question as asked, so their text is not quoted as an answer. Sources consulted: 21 CFR 73.2329(a), 21 CFR 73.2329(a)(1), 21 CFR 73.2329(a)(2), 21 CFR 73.2329(a)(2)(i), 21 CFR 73.2329(a)(2)(ii) and 4 more.</t>
        </is>
      </c>
      <c r="D40" s="2" t="inlineStr">
        <is>
          <t>FAIL</t>
        </is>
      </c>
      <c r="E40" s="2" t="inlineStr">
        <is>
          <t>Withheld, and the sources consulted were 73.2329. It fails to say no under 71.22: a general listing does not authorize use that conceals damage or inferiority.</t>
        </is>
      </c>
      <c r="F40" s="2" t="inlineStr">
        <is>
          <t>No. Under 71.22 a regulation authorizing a color additive generally in or on a cosmetic does not authorize its use in a manner that may promote deception or conceal damage or inferiority. Such use is considered a use for which no regulation has issued under section 721(b), even if a regulation covers other uses. 71.22 gives no compliance determination for a specific product.</t>
        </is>
      </c>
      <c r="G40" s="3" t="n">
        <v>73.40000000000001</v>
      </c>
      <c r="H40" s="2" t="n">
        <v>1717</v>
      </c>
      <c r="I40" s="2" t="n">
        <v>671</v>
      </c>
      <c r="J40" s="2" t="inlineStr">
        <is>
          <t>Execution failure: inspect serve_ui.log and the measurement record for this question, then re-run it as a separately labelled attempt.</t>
        </is>
      </c>
      <c r="K40" s="2" t="inlineStr">
        <is>
          <t>Withheld by validator (no answer shown)</t>
        </is>
      </c>
      <c r="L40" s="2" t="inlineStr">
        <is>
          <t>71</t>
        </is>
      </c>
    </row>
    <row r="41">
      <c r="A41" s="2" t="inlineStr">
        <is>
          <t>COS-71.30-Q1</t>
        </is>
      </c>
      <c r="B41" s="2" t="inlineStr">
        <is>
          <t>FDA just issued a color additive regulation that bars eye-area use of a pigment we rely on. How do we object or seek a hearing?</t>
        </is>
      </c>
      <c r="C41" s="2" t="inlineStr">
        <is>
          <t>The generated answer could not be validated against the retrieved regulatory evidence, so it is not shown. The retrieved sources were not verified to answer the question as asked, so their text is not quoted as an answer. Sources consulted: 21 CFR 71.30(a), 21 CFR 71.30(b).</t>
        </is>
      </c>
      <c r="D41" s="2" t="inlineStr">
        <is>
          <t>FAIL</t>
        </is>
      </c>
      <c r="E41" s="2" t="inlineStr">
        <is>
          <t>Withheld even though 71.30(a) and (b) were retrieved. It does not point to parts 10, 12-16 and 19 for objections and hearings, or to the 70.19 fees.</t>
        </is>
      </c>
      <c r="F41" s="2" t="inlineStr">
        <is>
          <t>Under 71.30(a), objections and hearings relating to color additive regulations under section 721(b) and (c) of the Act are governed by parts 10, 12, 13, 14, 15, 16 and 19 of chapter I. Under 71.30(b), the fees specified in § 70.19 apply. 71.30 itself sets no deadline or content; those come from the listed parts.</t>
        </is>
      </c>
      <c r="G41" s="3" t="n">
        <v>37.3</v>
      </c>
      <c r="H41" s="2" t="n">
        <v>918</v>
      </c>
      <c r="I41" s="2" t="n">
        <v>259</v>
      </c>
      <c r="J41" s="2" t="inlineStr">
        <is>
          <t>Execution failure: inspect serve_ui.log and the measurement record for this question, then re-run it as a separately labelled attempt.</t>
        </is>
      </c>
      <c r="K41" s="2" t="inlineStr">
        <is>
          <t>Withheld by validator (no answer shown)</t>
        </is>
      </c>
      <c r="L41" s="2" t="inlineStr">
        <is>
          <t>71</t>
        </is>
      </c>
    </row>
    <row r="42">
      <c r="A42" s="2" t="inlineStr">
        <is>
          <t>COS-73.2120-Q1</t>
        </is>
      </c>
      <c r="B42" s="2" t="inlineStr">
        <is>
          <t>Can we use disodium EDTA-copper to tint a body wash and a shampoo? What other requirements apply?</t>
        </is>
      </c>
      <c r="C42" s="2" t="inlineStr">
        <is>
          <t>The generated answer could not be validated against the retrieved regulatory evidence, so it is not shown. The retrieved sources were not verified to answer the question as asked, so their text is not quoted as an answer. Sources consulted: 21 CFR 73.2120(a), 21 CFR 73.2120(b), 21 CFR 73.2120(c), 21 CFR 73.2120(d), 21 CFR 73.2120(e).</t>
        </is>
      </c>
      <c r="D42" s="2" t="inlineStr">
        <is>
          <t>FAIL</t>
        </is>
      </c>
      <c r="E42" s="2" t="inlineStr">
        <is>
          <t>Answer was withheld and gives no substance. It never says the additive is permitted only in shampoos and not in body wash, and gives none of the (d)/(e) requirements.</t>
        </is>
      </c>
      <c r="F42" s="2" t="inlineStr">
        <is>
          <t>73.2120(c) permits disodium EDTA-copper only for coloring shampoos which are cosmetics, in amounts consistent with good manufacturing practice; body wash is not a listed use. (d): labeling under § 70.25. (e): certification not necessary; batches exempt from section 721(c). The additive must meet the (b) specifications.</t>
        </is>
      </c>
      <c r="G42" s="3" t="n">
        <v>55.2</v>
      </c>
      <c r="H42" s="2" t="n">
        <v>1432</v>
      </c>
      <c r="I42" s="2" t="n">
        <v>452</v>
      </c>
      <c r="J42" s="2" t="inlineStr">
        <is>
          <t>Execution failure: inspect serve_ui.log and the measurement record for this question, then re-run it as a separately labelled attempt.</t>
        </is>
      </c>
      <c r="K42" s="2" t="inlineStr">
        <is>
          <t>Withheld by validator (no answer shown)</t>
        </is>
      </c>
      <c r="L42" s="2" t="inlineStr">
        <is>
          <t>73</t>
        </is>
      </c>
    </row>
    <row r="43">
      <c r="A43" s="2" t="inlineStr">
        <is>
          <t>COS-74.2101-Q1</t>
        </is>
      </c>
      <c r="B43" s="2" t="inlineStr">
        <is>
          <t>We're formulating an eye shadow with FD&amp;C Blue No. 1 and a second shade with FD&amp;C Blue No. 1 Aluminum Lake. Are both permitted, and on what conditions?</t>
        </is>
      </c>
      <c r="C43" s="2" t="inlineStr">
        <is>
          <t>The generated answer could not be validated against the retrieved regulatory evidence, so it is not shown. The retrieved sources were not verified to answer the question as asked, so their text is not quoted as an answer. Sources consulted: 21 CFR 74.2340(a), 21 CFR 74.2340(a)(1), 21 CFR 74.2340(a)(2), 21 CFR 74.2340(b), 21 CFR 74.2340(b)(1) and 4 more.</t>
        </is>
      </c>
      <c r="D43" s="2" t="inlineStr">
        <is>
          <t>FAIL</t>
        </is>
      </c>
      <c r="E43" s="2" t="inlineStr">
        <is>
          <t>Answer was withheld, and the sources it consulted were for the wrong section (74.2340). It never states the (c)(1)/(c)(2) permissions or the (e) batch certification requirement.</t>
        </is>
      </c>
      <c r="F43" s="2" t="inlineStr">
        <is>
          <t>Yes. § 74.2101(c)(1) permits FD&amp;C Blue No. 1 for cosmetics generally, including cosmetics intended for use in the area of the eye; (c)(2) permits FD&amp;C Blue No. 1 Aluminum Lake for cosmetics intended for use in the area of the eye. Both in amounts consistent with current good manufacturing practice. All batches must be certified under part 80 (§ 74.2101(e)).</t>
        </is>
      </c>
      <c r="G43" s="3" t="n">
        <v>78.90000000000001</v>
      </c>
      <c r="H43" s="2" t="n">
        <v>1829</v>
      </c>
      <c r="I43" s="2" t="n">
        <v>694</v>
      </c>
      <c r="J43" s="2" t="inlineStr">
        <is>
          <t>Execution failure: inspect serve_ui.log and the measurement record for this question, then re-run it as a separately labelled attempt.</t>
        </is>
      </c>
      <c r="K43" s="2" t="inlineStr">
        <is>
          <t>Withheld by validator (no answer shown)</t>
        </is>
      </c>
      <c r="L43" s="2" t="inlineStr">
        <is>
          <t>74</t>
        </is>
      </c>
    </row>
    <row r="44">
      <c r="A44" s="2" t="inlineStr">
        <is>
          <t>COS-82.3-Q1</t>
        </is>
      </c>
      <c r="B44" s="2" t="inlineStr">
        <is>
          <t>Our lake supplier mentions a 'gloss white' substratum and says our foot cream is 'externally applied.' What do these terms mean under Part 82?</t>
        </is>
      </c>
      <c r="C44" s="2" t="inlineStr">
        <is>
          <t>The generated answer could not be validated against the retrieved regulatory evidence, so it is not shown. The retrieved sources were not verified to answer the question as asked, so their text is not quoted as an answer. Sources consulted: 21 CFR 82.3, 21 CFR 82.3(a), 21 CFR 82.3(a)(g), 21 CFR 82.3(a)(h), 21 CFR 82.3(a)(i) and 5 more.</t>
        </is>
      </c>
      <c r="D44" s="2" t="inlineStr">
        <is>
          <t>FAIL</t>
        </is>
      </c>
      <c r="E44" s="2" t="inlineStr">
        <is>
          <t>Withheld; neither the 82.3(i) gloss white definition nor the 82.3(n) externally applied definition was delivered, and the foot cream was not addressed.</t>
        </is>
      </c>
      <c r="F44" s="2" t="inlineStr">
        <is>
          <t>§ 82.3(i): gloss white is a water suspension of co-precipitated aluminum hydroxide and barium sulfate. § 82.3(n): externally applied drugs and cosmetics are those applied only to external parts of the body and not to the lips or any body surface covered by mucous membrane; a foot cream fits that definition.</t>
        </is>
      </c>
      <c r="G44" s="3" t="n">
        <v>36.5</v>
      </c>
      <c r="H44" s="2" t="n">
        <v>1502</v>
      </c>
      <c r="I44" s="2" t="n">
        <v>274</v>
      </c>
      <c r="J44" s="2" t="inlineStr">
        <is>
          <t>Execution failure: inspect serve_ui.log and the measurement record for this question, then re-run it as a separately labelled attempt.</t>
        </is>
      </c>
      <c r="K44" s="2" t="inlineStr">
        <is>
          <t>Withheld by validator (no answer shown)</t>
        </is>
      </c>
      <c r="L44" s="2" t="inlineStr">
        <is>
          <t>82</t>
        </is>
      </c>
    </row>
    <row r="45">
      <c r="A45" s="2" t="inlineStr">
        <is>
          <t>COS-82.1328-Q1</t>
        </is>
      </c>
      <c r="B45" s="2" t="inlineStr">
        <is>
          <t>We make bath bombs colored with D&amp;C Red No. 28. What does 82.1328 require of the color, and does it restrict use?</t>
        </is>
      </c>
      <c r="C45" s="2" t="inlineStr">
        <is>
          <t>The generated answer could not be validated against the retrieved regulatory evidence, so it is not shown. The retrieved sources were not verified to answer the question as asked, so their text is not quoted as an answer. Sources consulted: 21 CFR 82.1328, 21 CFR 82.1050.</t>
        </is>
      </c>
      <c r="D45" s="2" t="inlineStr">
        <is>
          <t>FAIL</t>
        </is>
      </c>
      <c r="E45" s="2" t="inlineStr">
        <is>
          <t>Withheld with no substantive content. It does not state the 74.1328(a)(1)/(b) conformance requirement, the absence of any use restriction, or the 82.1050 drugs-and-cosmetics-only certification.</t>
        </is>
      </c>
      <c r="F45" s="2" t="inlineStr">
        <is>
          <t>21 CFR 82.1328 contains one sentence: D&amp;C Red No. 28 shall conform in identity and specifications to § 74.1328(a)(1) and (b). It states no use restriction or quantitative limit. Under 82.1050 a batch of a straight color listed in Subpart C may be certified for use only in drugs and cosmetics if it conforms to 82.5 and the subpart specifications.</t>
        </is>
      </c>
      <c r="G45" s="3" t="n">
        <v>21.6</v>
      </c>
      <c r="H45" s="2" t="n">
        <v>1004</v>
      </c>
      <c r="I45" s="2" t="n">
        <v>241</v>
      </c>
      <c r="J45" s="2" t="inlineStr">
        <is>
          <t>Execution failure: inspect serve_ui.log and the measurement record for this question, then re-run it as a separately labelled attempt.</t>
        </is>
      </c>
      <c r="K45" s="2" t="inlineStr">
        <is>
          <t>Withheld by validator (no answer shown)</t>
        </is>
      </c>
      <c r="L45" s="2" t="inlineStr">
        <is>
          <t>82</t>
        </is>
      </c>
    </row>
    <row r="46">
      <c r="A46" s="2" t="inlineStr">
        <is>
          <t>COS-700.3-Q2</t>
        </is>
      </c>
      <c r="B46" s="2" t="inlineStr">
        <is>
          <t>We buy a premix of three chemicals from a supplier and add it to our shampoo. Is the premix an 'ingredient' and a 'cosmetic raw material' under FDA's definitions?</t>
        </is>
      </c>
      <c r="C46" s="2" t="inlineStr">
        <is>
          <t>The generated answer could not be validated against the retrieved regulatory evidence. The verified text of the requested provision(s) follows.
21 CFR 700.3(e) (eCFR, binding, verbatim): (e) The term ingredient means any single chemical entity or mixture used as a component in the manufacture of a cosmetic product [6].
21 CFR 700.3(h) (eCFR, binding, verbatim): (h) The term cosmetic raw material means any ingredient, including an ingredient that is a mixture, which is used in the manufacture of a cosmetic product for commercial distribution and is supplied to a cosmetic product manufacturer, packer, or distributor by a cosmetic raw material manufacturer or supplier [9].
21 CFR 700.3(a) (eCFR, binding, verbatim): (a) The term act means the Federal Food, Drug, and Cosmetic Act [2].
21 CFR 700.3(b) (eCFR, binding, verbatim): (b) The term cosmetic product means a finished cosmetic the manufacture of which has been completed. Any cosmetic product which is also a drug or device or component thereof is also subject to the requirements of Chapter V of the act [3].
21 CFR 700.3(c) (eCFR, binding, verbatim): (c) The term flavor means any natural or synthetic substance or substances used solely to impart a taste to a cosmetic product [4].
21 CFR 700.3(d) (eCFR, binding, verbatim): (d) The term fragrance means any natural or synthetic substance or substances used solely to impart an odor to a cosmetic product [5].
21 CFR 700.3(f) (eCFR, binding, verbatim): (f) The term proprietary ingredient means any cosmetic product ingredient whose name, composition, or manufacturing process is protected from competition by secrecy, patent, or copyright [7].
21 CFR 700.3(g) (eCFR, binding, verbatim): (g) The term chemical description means a concise definition of the chemical composition using standard chemical nomenclature so that the chemical structure or structures of the components of the ingredient would be clear to a practicing chemist. When the composition cannot be described chemically, the substance shall be described in terms of its source and processing [8].
21 CFR 700.3(i) (eCFR, binding, verbatim): (i) The term commercial distribution of a cosmetic product means annual gross sales in excess of $1,000 for that product [10].
21 CFR 700.3(j) (eCFR, binding, verbatim): (j) Establishment means a place of business where cosmetic products are manufactured or packaged [11].
21 CFR 700.3(k) (eCFR, binding, verbatim): (k) The term manufacture of a cosmetic product means the making of any cosmetic product by chemical, physical, biological, or other procedures, including manipulation, sampling, testing, or control procedures applied to the product [12].
21 CFR 700.3(l) (eCFR, binding, verbatim): (l) The term packaging of a cosmetic product means filling or labeling the product container, including changing the immediate container or label (but excluding changing other labeling) at any point in the distribution of the cosmetic product from the original place of manufacture to the person who makes final delivery or sale to the ultimate consumer [13].
21 CFR 700.3(m) (eCFR, binding, verbatim): (m) The term all business trading names used by the establishment means any name which is used on a cosmetic product label and owned by the cosmetic product manufacturer or packer, but is different from the principal name under which the cosmetic product manufacturer or packer is registered [14].
21 CFR 700.3(n) (eCFR, binding, verbatim): (n) The definitions and interpretations contained in sections 201, 601, and 602 of the act shall be applicable to such terms when used in the regulations in this subchapter [15].
21 CFR 700.3(o) (eCFR, binding, verbatim): (o) System of commercial distribution of a cosmetic product means any distribution outside the establishment manufacturing the product, whether for sale, to promote future sales (including free samples of the product), or to gage consumer acceptance through market testing, in excess of $1,000 in cost of goods [16].
21 CFR 700.3(p) (eCFR, binding, verbatim): (p) Filed screening procedure means a procedure that is: [17].
21 CFR 700.3(p)(1) (eCFR, binding, verbatim): (1) On file with the Food and Drug Administration and subject to public inspection; [18].
21 CFR 700.3(p)(2) (eCFR, binding, verbatim): (2) Designed to determine that there is a reasonable basis for concluding that an alleged injury did not occur in conjunction with the use of the cosmetic product; and [19].
21 CFR 700.3(p)(3) (eCFR, binding, verbatim): (3) Which is subject, upon request by the Food and Drug Administration, to an audit conducted by the Food and Drug Administration at reasonable times and, where an audit is conducted, such audit shows that the procedure is consistently being applied and that the procedure is not disregarding reportable information [20].
21 CFR 700.3(q) (eCFR, binding, verbatim): (q) Reportable experience means an experience involving any allergic reaction, or other bodily injury, alleged to be the result of the use of a cosmetic product under the conditions of use prescribed in the labeling of the product, under such conditions of use as are customary or reasonably foreseeable for the product or under conditions of misuse, that has been reported to the manufacturer, packer, or distributor of the product by the affected person or any other person having factual knowledge of the incident, other than an alleged experience which has been determined to be unfounded or spurious when evaluated by a filed screening procedure [21].</t>
        </is>
      </c>
      <c r="D46" s="2" t="inlineStr">
        <is>
          <t>FAIL</t>
        </is>
      </c>
      <c r="E46" s="2" t="inlineStr">
        <is>
          <t>This is the 'could not be validated' fallback: it dumps all of 700.3 verbatim and never answers the yes/no question. Definitions (e) and (h) are present, but the key's 'yes to both' is never stated, so the answer only quotes text.</t>
        </is>
      </c>
      <c r="F46" s="2" t="inlineStr">
        <is>
          <t>Yes to both. § 700.3(e): an ingredient is any single chemical entity or mixture used as a component in the manufacture of a cosmetic product. (h): a cosmetic raw material is any ingredient, including a mixture, used in manufacturing a cosmetic for commercial distribution that is supplied to a manufacturer, packer or distributor by a raw material manufacturer or supplier.</t>
        </is>
      </c>
      <c r="G46" s="3" t="n">
        <v>68.2</v>
      </c>
      <c r="H46" s="2" t="n">
        <v>2903</v>
      </c>
      <c r="I46" s="2" t="n">
        <v>354</v>
      </c>
      <c r="J46" s="2" t="inlineStr">
        <is>
          <t>Execution failure: inspect serve_ui.log and the measurement record for this question, then re-run it as a separately labelled attempt.</t>
        </is>
      </c>
      <c r="K46" s="2" t="inlineStr">
        <is>
          <t>Generated answer</t>
        </is>
      </c>
      <c r="L46" s="2" t="inlineStr">
        <is>
          <t>700</t>
        </is>
      </c>
    </row>
    <row r="47">
      <c r="A47" s="2" t="inlineStr">
        <is>
          <t>COS-700.27-Q3</t>
        </is>
      </c>
      <c r="B47" s="2" t="inlineStr">
        <is>
          <t>A supplier offers cattle-derived material from animals that could not walk at slaughter, though otherwise healthy. Can we use it in our cosmetics?</t>
        </is>
      </c>
      <c r="C47" s="2" t="inlineStr">
        <is>
          <t>The generated answer could not be validated against the retrieved regulatory evidence, so it is not shown. The retrieved sources were not verified to answer the question as asked, so their text is not quoted as an answer. Sources consulted: 21 CFR 700.27(a), 21 CFR 700.27(a)(1), 21 CFR 700.27(a)(1)(i), 21 CFR 700.27(a)(1)(ii), 21 CFR 700.27(a)(4) and 10 more.
Evidence limit: not all of the retrieved text of 21 CFR 700.27 fit in the evidence supplied for this answer (9 paragraphs left out). The answer above does not cover that text; consult the full provisions.</t>
        </is>
      </c>
      <c r="D47" s="2" t="inlineStr">
        <is>
          <t>FAIL</t>
        </is>
      </c>
      <c r="E47" s="2" t="inlineStr">
        <is>
          <t>Withheld. Nothing was answered and no citation was given, so the key's 'No' under 700.27(a)(4), (a)(1) and (b)(1) was never delivered.</t>
        </is>
      </c>
      <c r="F47" s="2" t="inlineStr">
        <is>
          <t>No. § 700.27(a)(4): nonambulatory disabled cattle cannot rise from a recumbent position or cannot walk, including from broken appendages, severed tendons or ligaments, nerve paralysis, fractured vertebral column or metabolic conditions. Material from such cattle is a prohibited cattle material under (a)(1), and (b)(1) bars cosmetics made from, processed with, or containing it.</t>
        </is>
      </c>
      <c r="G47" s="3" t="n">
        <v>75.90000000000001</v>
      </c>
      <c r="H47" s="2" t="n">
        <v>2958</v>
      </c>
      <c r="I47" s="2" t="n">
        <v>517</v>
      </c>
      <c r="J47" s="2" t="inlineStr">
        <is>
          <t>Execution failure: inspect serve_ui.log and the measurement record for this question, then re-run it as a separately labelled attempt.</t>
        </is>
      </c>
      <c r="K47" s="2" t="inlineStr">
        <is>
          <t>Withheld by validator (no answer shown)</t>
        </is>
      </c>
      <c r="L47" s="2" t="inlineStr">
        <is>
          <t>700</t>
        </is>
      </c>
    </row>
    <row r="48">
      <c r="A48" s="2" t="inlineStr">
        <is>
          <t>COS-701.9-Q2</t>
        </is>
      </c>
      <c r="B48" s="2" t="inlineStr">
        <is>
          <t>Part of a bulk lotion shipment held at our own labeling plant left the plant mislabeled. What happens to the labeling exemption?</t>
        </is>
      </c>
      <c r="C48" s="2" t="inlineStr">
        <is>
          <t>The labeling exemption for the bulk lotion shipment held at the plant is void ab initio if the cosmetic is mislabeled, as misbranding constitutes a violation that terminates the exemption under the conditions specified in 21 CFR 701.9(d)(1) and 701.9(b). The exemption does not survive once the cosmetic is found to be misbranded during removal from the establishment.
The labeling exemption for a shipment of bulk lotion held at a labeling plant is conditional upon the presence of a written agreement between the person who introduced the shipment and the operator of the establishment where it is processed, labeled, or repacked. This agreement must specify processing, labeling, or repacking details that ensure the cosmetic will not be adulterated or misbranded upon completion of such actions. If the shipment is mislabeled, the exemption becomes void ab initio as a result of the misbranding, per 21 CFR 701.9(d)(1). 
The exemption does not apply if the person who introduced the shipment into interstate commerce refuses to make available for inspection a copy of the written agreement required under paragraph (a)(2), which would cause the exemption to become void ab initio with respect to that person, as specified in 21 CFR 701.9(c). 
The requirement that such an agreement be kept by both parties until two years after the final shipment or delivery from the establishment is mandated under 21 CFR 701.9(a)(2), and copies must be made available for inspection at any reasonable hour upon request, as required in 21 CFR 701.9(a)(2). 
The exemption does not apply if the cosmetic is mislabeled during movement or holding because such misbranding triggers immediate voidance of the exemption under 21 CFR 701.9(d)(1), regardless of whether the agreement was properly executed or maintained.
21 CFR 701.9(a)(2) [3]  
21 CFR 701.9(b) [4]  
21 CFR 701.9(c) [5]  
21 CFR 701.9(d)(1) [6]  
21 CFR 701.9(d)(2) [8]</t>
        </is>
      </c>
      <c r="D48" s="2" t="inlineStr">
        <is>
          <t>FAIL</t>
        </is>
      </c>
      <c r="E48" s="2" t="inlineStr">
        <is>
          <t>For an own-plant shipment the key is 701.9(b): the exemption is void from the start of removal for the misbranded part. The answer rests mainly on 701.9(d)(1), which covers (a)(2) agreement shipments and says 'expire', not void ab initio. It also says the exemption depends on a written agreement, which an own-plant shipment does not need, and invents a trigger for mislabeling 'during movement or holding'.</t>
        </is>
      </c>
      <c r="F48" s="2" t="inlineStr">
        <is>
          <t>§ 701.9(b): an exemption under (a)(1) becomes void from the beginning of the removal of any part of the shipment from the establishment if that part is adulterated or misbranded when removed. The mislabeled portion's exemption is void from the start of its removal.</t>
        </is>
      </c>
      <c r="G48" s="3" t="n">
        <v>36.1</v>
      </c>
      <c r="H48" s="2" t="n">
        <v>1792</v>
      </c>
      <c r="I48" s="2" t="n">
        <v>480</v>
      </c>
      <c r="J48" s="2" t="inlineStr">
        <is>
          <t>Execution failure: inspect serve_ui.log and the measurement record for this question, then re-run it as a separately labelled attempt.</t>
        </is>
      </c>
      <c r="K48" s="2" t="inlineStr">
        <is>
          <t>Generated answer</t>
        </is>
      </c>
      <c r="L48" s="2" t="inlineStr">
        <is>
          <t>701</t>
        </is>
      </c>
    </row>
    <row r="49">
      <c r="A49" s="2" t="inlineStr">
        <is>
          <t>COS-701.13-Q2</t>
        </is>
      </c>
      <c r="B49" s="2" t="inlineStr">
        <is>
          <t>Our lip pencil holds less than 1/4 ounce and there's no room on the PDP. Are we exempt from the net quantity declaration?</t>
        </is>
      </c>
      <c r="C49" s="2" t="inlineStr">
        <is>
          <t>The generated answer could not be validated against the retrieved regulatory evidence, so it is not shown. The retrieved sources were not verified to answer the question as asked, so their text is not quoted as an answer. Sources consulted: FD&amp;C Act § 603 [21 U.S.C. 363].</t>
        </is>
      </c>
      <c r="D49" s="2" t="inlineStr">
        <is>
          <t>FAIL</t>
        </is>
      </c>
      <c r="E49" s="2" t="inlineStr">
        <is>
          <t>Withheld. It does not say the product is not exempt, and it does not give the 701.13(e)(1) tear-away tag/tape PDP rule or the (f)(1) 5 sq in waiver.</t>
        </is>
      </c>
      <c r="F49" s="2" t="inlineStr">
        <is>
          <t>Not exempt. § 701.13(e)(1): for boudoir-type containers (cartridge, pill box, compact or pencil) and containers of one-fourth ounce or less, the principal display panel may be a tear-away tag or tape affixed to the decorative container, bearing the mandatory label information; type size follows the container's dimensions. § 701.13(f)(1): bottom-30 percent placement does not apply to PDPs of 5 square inches or less if otherwise compliant.</t>
        </is>
      </c>
      <c r="G49" s="3" t="n">
        <v>35</v>
      </c>
      <c r="H49" s="2" t="n">
        <v>894</v>
      </c>
      <c r="I49" s="2" t="n">
        <v>225</v>
      </c>
      <c r="J49" s="2" t="inlineStr">
        <is>
          <t>Execution failure: inspect serve_ui.log and the measurement record for this question, then re-run it as a separately labelled attempt.</t>
        </is>
      </c>
      <c r="K49" s="2" t="inlineStr">
        <is>
          <t>Withheld by validator (no answer shown)</t>
        </is>
      </c>
      <c r="L49" s="2" t="inlineStr">
        <is>
          <t>701</t>
        </is>
      </c>
    </row>
    <row r="50">
      <c r="A50" s="2" t="inlineStr">
        <is>
          <t>COS-701.20-Q1</t>
        </is>
      </c>
      <c r="B50" s="2" t="inlineStr">
        <is>
          <t>Our 'beauty bar' is a syndet made with sodium cocoyl isethionate, and we call it 'soap' on the label. Does FDA treat it as soap?</t>
        </is>
      </c>
      <c r="C50" s="2" t="inlineStr">
        <is>
          <t>The available regulatory sources do not provide enough information to answer whether FDA treats a beauty bar made with sodium cocoyl isethionate, labeled as "soap," as soap under 21 CFR 720.4 or 701.3(c). The provided evidence does not define what constitutes "soap" for regulatory purposes, nor does it address the classification of syndets (synthetic detergents) or their treatment in relation to labeling as "soap."
21 CFR 720.4(a)(1) [2] requires the name and address of the person designated on the label. 
21 CFR 720.4(a)(2) [3] requires the name and address of the manufacturer or packer if different from the person designated on the label. 
21 CFR 720.4(a)(4) [5] requires the cosmetic product category or categories. 
21 CFR 720.4(a)(5) [6] requires the ingredients in the product. 
21 CFR 720.4(b)(1) [8] requires providing the information requested in paragraph (a). 
21 CFR 720.4(b)(3) [10] requires providing poison control centers with ingredient information and/or adequate diagnostic and therapeutic procedures for accidental ingestion or use. 
21 CFR 720.4(b)(4) [11] requires providing ingredient information to a licensed physician who requests assistance in determining if an ingredient is causing a patient's condition. 
21 CFR 720.4(c)(1)(i) [14] lists baby shampoos as a category of baby products. 
21 CFR 720.4(c)(1)(ii) [15] lists lotions, oils, powders, and creams as baby products. 
21 CFR 720.4(c)(1)(iii) [16] lists other baby products. 
21 CFR 720.4(c)(2)(i) [18] lists bath oils, tablets, and salts as bath preparations. 
21 CFR 720.4(c)(2)(ii) [19] lists bubble baths as bath preparations. 
21 CFR 720.4(c)(2)(iii) [20] lists bath capsules as bath preparations. 
21 CFR 720.4(c)(2)(iv) [21] lists other bath preparations. 
21 CFR 720.4(c)(3)(i) [23] lists eyebrow pencil as an eye makeup preparation. 
21 CFR 720.4(c)(3)(ii) [24] lists eyeliner as an eye makeup preparation.
None of the provisions in 21 CFR 720.4 address whether a product containing sodium cocoyl isethionate, labeled as "soap," is classified as soap under FDA regulations. The listed categories (e.g., baby products, bath preparations) do not include or define syndet-based beauty bars labeled as soap. Therefore, the regulatory text does not establish that such a product is treated as soap.
21 CFR 720.4 (eCFR, binding, verbatim): (a) Form FDA-2512 requests information on: [1]. (1) The name and address, including post office ZIP code of the person (manufacturer, packer, or distributor) designated on the label of the product [2]. (2) The name and address, including post office ZIP code, of the manufacturer or packer of the product if different from the person designated on the label of the product, when the manufacturer or packer submits the information requested under this paragraph [3].
21 CFR 701.3(c): not found in the available eCFR data.
21 CFR 720.4(b) (eCFR, binding, verbatim): (b) The person filing Form FDA-2512 should: [7].
21 CFR 720.4(b)(2) (eCFR, binding, verbatim): (2) Have the form signed by an authorized individual [9].
21 CFR 720.4(c) (eCFR, binding, verbatim): (c) One or more of the following cosmetic product categories should be cited to indicate the product's intended use [12].
Evidence limit: not all of the retrieved text of 21 CFR 720.4 and 21 CFR 701.3(c) fit in the evidence supplied for this answer (77 paragraphs left out). The answer above does not cover that text; consult the full provisions.</t>
        </is>
      </c>
      <c r="D50" s="2" t="inlineStr">
        <is>
          <t>FAIL</t>
        </is>
      </c>
      <c r="E50" s="2" t="inlineStr">
        <is>
          <t>Declines and never surfaces 701.20(a)/(b), which define soap and make a syndet bar a cosmetic. It cites irrelevant 720.4 provisions and turns the voluntary Form 2512 'should' items into requirements ('requires'), which counts as invented requirements.</t>
        </is>
      </c>
      <c r="F50" s="2" t="inlineStr">
        <is>
          <t>No. § 701.20(a): FDA interprets 'soap' to apply only where (1) the bulk of the nonvolatile matter is an alkali salt of fatty acids and its detergent properties are due to those compounds, and (2) the product is labeled, sold and represented only as soap. A synthetic-detergent bar fails (a)(1). § 701.20(b): body-cleansing products not meeting (a) are cosmetics subject to the act and regulations.</t>
        </is>
      </c>
      <c r="G50" s="3" t="n">
        <v>97.3</v>
      </c>
      <c r="H50" s="2" t="n">
        <v>2809</v>
      </c>
      <c r="I50" s="2" t="n">
        <v>695</v>
      </c>
      <c r="J50" s="2" t="inlineStr">
        <is>
          <t>Execution failure: inspect serve_ui.log and the measurement record for this question, then re-run it as a separately labelled attempt.</t>
        </is>
      </c>
      <c r="K50" s="2" t="inlineStr">
        <is>
          <t>Generated answer</t>
        </is>
      </c>
      <c r="L50" s="2" t="inlineStr">
        <is>
          <t>701</t>
        </is>
      </c>
    </row>
    <row r="51">
      <c r="A51" s="2" t="inlineStr">
        <is>
          <t>COS-710.9-Q1</t>
        </is>
      </c>
      <c r="B51" s="2" t="inlineStr">
        <is>
          <t>We run a day spa that blends custom scrubs in our back room and sells them only at our front desk. Do we need to register the spa under Part 710?</t>
        </is>
      </c>
      <c r="C51" s="2" t="inlineStr">
        <is>
          <t>The generated answer could not be validated against the retrieved regulatory evidence. The verified text of the requested provision(s) follows.
21 CFR 700.3(b) (eCFR, binding, verbatim): (b) The term cosmetic product means a finished cosmetic the manufacture of which has been completed. Any cosmetic product which is also a drug or device or component thereof is also subject to the requirements of Chapter V of the act [5].
21 CFR 710.9(a) (eCFR, binding, verbatim): (a) Beauty shops, cosmetologists, retailers, pharmacies, and other persons and organizations that compound cosmetic products at a single location and administer, dispense, or distribute them at retail from that location and who do not otherwise manufacture or package cosmetic products at that location [2].
21 CFR 710.9(b) (eCFR, binding, verbatim): (b) Physicians, hospitals, clinics, and public health agencies [3].
21 CFR 710.9(c) (eCFR, binding, verbatim): (c) Persons who manufacture, prepare, compound, or process cosmetic products solely for use in research, pilot plant production, teaching, or chemical analysis, and who do not sell these products [4].</t>
        </is>
      </c>
      <c r="D51" s="2" t="inlineStr">
        <is>
          <t>FAIL</t>
        </is>
      </c>
      <c r="E51" s="2" t="inlineStr">
        <is>
          <t>The answer was withheld and replaced with verbatim quotes of 710.9(a)-(c) and 700.3(b), all cited correctly. It never says the spa is not requested to register, and it omits the 710.9 introductory text that gives (a) its effect, so the question goes unanswered.</t>
        </is>
      </c>
      <c r="F51" s="2" t="inlineStr">
        <is>
          <t>Under 710.9(a), beauty shops, cosmetologists, retailers, pharmacies and other persons and organizations that compound cosmetic products at a single location and administer, dispense or distribute them at retail from that location, and do not otherwise manufacture or package cosmetic products there, are not requested to register, because the Commissioner found registration not justified (710.9 intro). If you manufacture or package beyond that, the exemption does not fit.</t>
        </is>
      </c>
      <c r="G51" s="3" t="n">
        <v>37.1</v>
      </c>
      <c r="H51" s="2" t="n">
        <v>1245</v>
      </c>
      <c r="I51" s="2" t="n">
        <v>338</v>
      </c>
      <c r="J51" s="2" t="inlineStr">
        <is>
          <t>Execution failure: inspect serve_ui.log and the measurement record for this question, then re-run it as a separately labelled attempt.</t>
        </is>
      </c>
      <c r="K51" s="2" t="inlineStr">
        <is>
          <t>Generated answer</t>
        </is>
      </c>
      <c r="L51" s="2" t="inlineStr">
        <is>
          <t>710</t>
        </is>
      </c>
    </row>
    <row r="52">
      <c r="A52" s="2" t="inlineStr">
        <is>
          <t>COS-720.2-Q1</t>
        </is>
      </c>
      <c r="B52" s="2" t="inlineStr">
        <is>
          <t>We launch a new tinted lip balm next month. If we choose to file a Cosmetic Product Ingredient Statement, by when should it be filed?</t>
        </is>
      </c>
      <c r="C52" s="2" t="inlineStr">
        <is>
          <t>The available regulatory sources do not provide enough information to answer when a Cosmetic Product Ingredient Statement should be filed for a new tinted lip balm.  
21 CFR 700.3(b) [2] defines "cosmetic product" as a finished cosmetic whose manufacture has been completed and does not specify any filing deadline or requirement for submitting a Cosmetic Product Ingredient Statement.  
21 CFR 720.9 [1] states that the filing of Form FDA 2512 or assignment of a number to the statement does not denote approval by the FDA and that any representation implying official approval due to such filing is misleading; it provides no information on when the statement must be filed.</t>
        </is>
      </c>
      <c r="D52" s="2" t="inlineStr">
        <is>
          <t>FAIL</t>
        </is>
      </c>
      <c r="E52" s="2" t="inlineStr">
        <is>
          <t>Declines to answer and never surfaces 720.2. The key element (file within 60 days after commercial distribution begins) is missing.</t>
        </is>
      </c>
      <c r="F52" s="2" t="inlineStr">
        <is>
          <t>Under 720.2, Form FDA 2512 should be filed within 60 days after the beginning of commercial distribution of any product not covered within the initial 180-day period. The 180-day window applied to products being commercially distributed as of the effective date of Part 720, counted from when forms were made available to industry.</t>
        </is>
      </c>
      <c r="G52" s="3" t="n">
        <v>22.4</v>
      </c>
      <c r="H52" s="2" t="n">
        <v>1003</v>
      </c>
      <c r="I52" s="2" t="n">
        <v>143</v>
      </c>
      <c r="J52" s="2" t="inlineStr">
        <is>
          <t>Execution failure: inspect serve_ui.log and the measurement record for this question, then re-run it as a separately labelled attempt.</t>
        </is>
      </c>
      <c r="K52" s="2" t="inlineStr">
        <is>
          <t>Generated answer</t>
        </is>
      </c>
      <c r="L52" s="2" t="inlineStr">
        <is>
          <t>720</t>
        </is>
      </c>
    </row>
    <row r="53">
      <c r="A53" s="2" t="inlineStr">
        <is>
          <t>COS-720.4-Q2</t>
        </is>
      </c>
      <c r="B53" s="2" t="inlineStr">
        <is>
          <t>Beyond completing the form, what does Part 720 say a company filing Form FDA 2512 should do?</t>
        </is>
      </c>
      <c r="C53" s="2" t="inlineStr">
        <is>
          <t>A company filing Form FDA 2512 should submit an amended Form FDA 2512 within 60 days after a cosmetic product is entered into commercial distribution if there are changes to the ingredients or brand name of the product. For other changes, the company must file an amended Form FDA 2512 within one year after such changes occur. Additionally, notice of discontinuance of commercial distribution should be submitted via Form FDA 2514 within 180 days after discontinuance is known. [1]
The provision requires that changes to the ingredients or brand name must be reported by filing an amended Form FDA 2512 within 60 days after the product enters commercial distribution. [1]  
Other changes, not specified as ingredient or brand name modifications, should also be reported by filing an amended Form FDA 2512 within one year of occurrence. [1]  
Notice of discontinuance must be submitted via Form FDA 2514 within 180 days after the discontinuance is known to the filer. [1]</t>
        </is>
      </c>
      <c r="D53" s="2" t="inlineStr">
        <is>
          <t>FAIL</t>
        </is>
      </c>
      <c r="E53" s="2" t="inlineStr">
        <is>
          <t>Answers with the 720.6 amendment and discontinuance timing instead of the question asked. None of the 720.4(b) elements appear: providing the (a) information, an authorized signature, ingredient information for poison control centers, and ingredient information or samples for treating physicians.</t>
        </is>
      </c>
      <c r="F53" s="2" t="inlineStr">
        <is>
          <t>720.4(b): the filer should (1) provide the information requested in (a); (2) have the form signed by an authorized individual; (3) provide poison control centers with ingredient information and/or adequate diagnostic and therapeutic procedures for rapid evaluation and treatment of accidental ingestion or other accidental use; (4) provide ingredient information (and, when requested, samples) to a licensed physician treating a patient who asks whether an ingredient caused the problem.</t>
        </is>
      </c>
      <c r="G53" s="3" t="n">
        <v>14.4</v>
      </c>
      <c r="H53" s="2" t="n">
        <v>926</v>
      </c>
      <c r="I53" s="2" t="n">
        <v>227</v>
      </c>
      <c r="J53" s="2" t="inlineStr">
        <is>
          <t>Execution failure: inspect serve_ui.log and the measurement record for this question, then re-run it as a separately labelled attempt.</t>
        </is>
      </c>
      <c r="K53" s="2" t="inlineStr">
        <is>
          <t>Generated answer</t>
        </is>
      </c>
      <c r="L53" s="2" t="inlineStr">
        <is>
          <t>720</t>
        </is>
      </c>
    </row>
    <row r="54">
      <c r="A54" s="2" t="inlineStr">
        <is>
          <t>COS-740.2-Q1</t>
        </is>
      </c>
      <c r="B54" s="2" t="inlineStr">
        <is>
          <t>Our designer set the aerosol hairspray warning in 5-point light-gray italic on a silver can. What does FDA require for how warnings look?</t>
        </is>
      </c>
      <c r="C54" s="2" t="inlineStr">
        <is>
          <t>The generated answer could not be validated against the retrieved regulatory evidence, so it is not shown. The retrieved sources were not verified to answer the question as asked, so their text is not quoted as an answer. Sources consulted: 21 CFR 740.2(a), 21 CFR 740.2(b).</t>
        </is>
      </c>
      <c r="D54" s="2" t="inlineStr">
        <is>
          <t>FAIL</t>
        </is>
      </c>
      <c r="E54" s="2" t="inlineStr">
        <is>
          <t>Withheld, so no substantive answer. The 740.2(a) prominence, bold-type, contrasting-background and 1/16-inch requirements are never stated.</t>
        </is>
      </c>
      <c r="F54" s="2" t="inlineStr">
        <is>
          <t>740.2(a): the warning shall appear prominently and conspicuously compared to other words, statements, designs or devices, in bold type on contrasting background, to be likely read and understood by the ordinary individual under customary conditions of purchase and use; letters and/or numbers not less than 1/16 inch in height unless an exemption under (b) is established. Light, non-bold type on low contrast does not fit.</t>
        </is>
      </c>
      <c r="G54" s="3" t="n">
        <v>42.3</v>
      </c>
      <c r="H54" s="2" t="n">
        <v>1051</v>
      </c>
      <c r="I54" s="2" t="n">
        <v>416</v>
      </c>
      <c r="J54" s="2" t="inlineStr">
        <is>
          <t>Execution failure: inspect serve_ui.log and the measurement record for this question, then re-run it as a separately labelled attempt.</t>
        </is>
      </c>
      <c r="K54" s="2" t="inlineStr">
        <is>
          <t>Withheld by validator (no answer shown)</t>
        </is>
      </c>
      <c r="L54" s="2" t="inlineStr">
        <is>
          <t>740</t>
        </is>
      </c>
    </row>
    <row r="55">
      <c r="A55" s="2" t="inlineStr">
        <is>
          <t>COS-740.18-Q1</t>
        </is>
      </c>
      <c r="B55" s="2" t="inlineStr">
        <is>
          <t>An old formulation file for our permanent hair dye lists 2,4-diaminoanisole sulfate. What does the cancer warning rule for coal tar hair dyes say, and is it in effect?</t>
        </is>
      </c>
      <c r="C55" s="2" t="inlineStr">
        <is>
          <t>The cancer warning rule for coal tar hair dyes applies if the product contains an ingredient listed in 21 CFR 740.18(b), which includes 2,4-diaminoanisole (4-methoxy-m-phenylenediamine) and its sulfate salt (2,4-diaminoanisole sulfate). Since the formulation contains 2,4-diaminoanisole sulfate, it falls under the scope of the rule. The warning must appear on the principal display panel in a conspicuous and readable format as required by §740.2(a), unless an exemption is established under §740.2(b) due to label size limitations.
21 CFR 740.18(a)[1]: The principal display panel of the label must bear the warning: "Warning—Contains an ingredient that can penetrate your skin and has been determined to cause cancer in laboratory animals."  
21 CFR 740.18(a)[2]: This is the specific text of the required cancer warning for coal tar hair dyes containing ingredients listed in paragraph (b).  
21 CFR 740.18(b)[3]: Hair dyes containing 4-methoxy-m-phenylenediamine (2,4-diaminoanisole) or its sulfate salt (2,4-diaminoanisole sulfate) must comply with the requirements of this section; thus, the product in question is subject to the warning requirement.  
21 CFR 740.2(a)[4]: The warning statement shall appear prominently and conspicuously on the label, in bold type on a contrasting background, with letters and numbers not less than 1/16 inch in height, unless an exemption under paragraph (b) is established.  
21 CFR 740.2(b)[5]: If the label is too small to accommodate the warning, the Commissioner may establish an acceptable alternative method, such as smaller type size, by regulation; however, this requires a petition submitted to the Dockets Management Staff for approval.</t>
        </is>
      </c>
      <c r="D55" s="2" t="inlineStr">
        <is>
          <t>FAIL</t>
        </is>
      </c>
      <c r="E55" s="2" t="inlineStr">
        <is>
          <t>Correctly quotes the 740.18(a) warning text and the (b) ingredients, including the sulfate. But it never says the section was stayed until further notice effective Sept. 18, 1980 (47 FR 7829), and it states the product 'is subject to the warning requirement'. That answers the 'is it in effect' question wrongly.</t>
        </is>
      </c>
      <c r="F55" s="2" t="inlineStr">
        <is>
          <t>740.18(a) would require the PDP and accompanying labeling of a coal tar hair dye containing a (b) ingredient to bear, per 740.2: 'Warning—Contains an ingredient that can penetrate your skin and has been determined to cause cancer in laboratory animals.' (b) covers (1) 4-methoxy-m-phenylenediamine (2,4-diaminoanisole) and (2) its sulfate. However, per the eCFR note, 740.18 was stayed until further notice, effective Sept. 18, 1980 (47 FR 7829).</t>
        </is>
      </c>
      <c r="G55" s="3" t="n">
        <v>34.3</v>
      </c>
      <c r="H55" s="2" t="n">
        <v>1460</v>
      </c>
      <c r="I55" s="2" t="n">
        <v>435</v>
      </c>
      <c r="J55" s="2" t="inlineStr">
        <is>
          <t>Execution failure: inspect serve_ui.log and the measurement record for this question, then re-run it as a separately labelled attempt.</t>
        </is>
      </c>
      <c r="K55" s="2" t="inlineStr">
        <is>
          <t>Generated answer</t>
        </is>
      </c>
      <c r="L55" s="2" t="inlineStr">
        <is>
          <t>740</t>
        </is>
      </c>
    </row>
    <row r="56">
      <c r="A56" s="2" t="inlineStr">
        <is>
          <t>COS-FDCA601-Q1</t>
        </is>
      </c>
      <c r="B56" s="2" t="inlineStr">
        <is>
          <t>We sell a coal-tar hair dye. What must our label and labeling carry to rely on the hair-dye exception from the poisonous-substance adulteration provision?</t>
        </is>
      </c>
      <c r="C56" s="2" t="inlineStr">
        <is>
          <t>The generated answer could not be validated against the retrieved regulatory evidence, so it is not shown. The retrieved sources were not verified to answer the question as asked, so their text is not quoted as an answer. Sources consulted: 21 CFR 740.18(a), 21 CFR 740.18(b), 21 CFR 740.2(a), 21 CFR 740.2(b).</t>
        </is>
      </c>
      <c r="D56" s="2" t="inlineStr">
        <is>
          <t>FAIL</t>
        </is>
      </c>
      <c r="E56" s="2" t="inlineStr">
        <is>
          <t>Withheld, and FD&amp;C Act 601(a) is never surfaced. The hair-dye caution text and the preliminary-test directions are missing.</t>
        </is>
      </c>
      <c r="F56" s="2" t="inlineStr">
        <is>
          <t>601(a) does not apply to coal-tar hair dye whose label conspicuously displays the statutory caution (may cause skin irritation on certain individuals; a preliminary test according to accompanying directions should first be made; must not be used for dyeing eyelashes or eyebrows, which may cause blindness) and whose labeling bears adequate directions for such preliminary testing.</t>
        </is>
      </c>
      <c r="G56" s="3" t="n">
        <v>57</v>
      </c>
      <c r="H56" s="2" t="n">
        <v>1452</v>
      </c>
      <c r="I56" s="2" t="n">
        <v>444</v>
      </c>
      <c r="J56" s="2" t="inlineStr">
        <is>
          <t>Execution failure: inspect serve_ui.log and the measurement record for this question, then re-run it as a separately labelled attempt.</t>
        </is>
      </c>
      <c r="K56" s="2" t="inlineStr">
        <is>
          <t>Withheld by validator (no answer shown)</t>
        </is>
      </c>
      <c r="L56" s="2" t="inlineStr">
        <is>
          <t>FDCA</t>
        </is>
      </c>
    </row>
    <row r="57">
      <c r="A57" s="2" t="inlineStr">
        <is>
          <t>COS-FDCA601-Q2</t>
        </is>
      </c>
      <c r="B57" s="2" t="inlineStr">
        <is>
          <t>An investigator found rodent droppings in our lotion warehouse, and our jars use a recycled resin of unknown makeup. Which adulteration provisions could be in play?</t>
        </is>
      </c>
      <c r="C57" s="2" t="inlineStr">
        <is>
          <t>The generated answer could not be validated against the retrieved regulatory evidence, so it is not shown. The retrieved sources were not verified to answer the question as asked, so their text is not quoted as an answer. Sources consulted: 21 CFR 700.27(a), 21 CFR 700.27(a)(1), 21 CFR 700.27(a)(1)(i), 21 CFR 700.27(a)(1)(ii), 21 CFR 700.27(a)(2) and 12 more.
Evidence limit: not all of the retrieved text of 21 CFR 700.27 fit in the evidence supplied for this answer (7 paragraphs left out). The answer above does not cover that text; consult the full provisions.</t>
        </is>
      </c>
      <c r="D57" s="2" t="inlineStr">
        <is>
          <t>FAIL</t>
        </is>
      </c>
      <c r="E57" s="2" t="inlineStr">
        <is>
          <t>Withheld. Its sources were 700.27, not FD&amp;C Act 601(b)-(d), and none of the filth, insanitary-conditions or poisonous-container provisions are stated.</t>
        </is>
      </c>
      <c r="F57" s="2" t="inlineStr">
        <is>
          <t>601(b): adulterated if it consists in whole or in part of any filthy, putrid, or decomposed substance. 601(c): if prepared, packed, or held under insanitary conditions whereby it may have become contaminated with filth, or may have been rendered injurious to health. 601(d): if its container is composed, in whole or in part, of any poisonous or deleterious substance which may render the contents injurious to health.</t>
        </is>
      </c>
      <c r="G57" s="3" t="n">
        <v>85.90000000000001</v>
      </c>
      <c r="H57" s="2" t="n">
        <v>2973</v>
      </c>
      <c r="I57" s="2" t="n">
        <v>667</v>
      </c>
      <c r="J57" s="2" t="inlineStr">
        <is>
          <t>Execution failure: inspect serve_ui.log and the measurement record for this question, then re-run it as a separately labelled attempt.</t>
        </is>
      </c>
      <c r="K57" s="2" t="inlineStr">
        <is>
          <t>Withheld by validator (no answer shown)</t>
        </is>
      </c>
      <c r="L57" s="2" t="inlineStr">
        <is>
          <t>FDCA</t>
        </is>
      </c>
    </row>
    <row r="58">
      <c r="A58" s="2" t="inlineStr">
        <is>
          <t>COS-FDCA612-Q2</t>
        </is>
      </c>
      <c r="B58" s="2" t="inlineStr">
        <is>
          <t>Our total sales were $1.2 million last year, including Canada and candles; U.S. cosmetic sales averaged $800,000 over 3 years. Which figure counts for the small-business test?</t>
        </is>
      </c>
      <c r="C58" s="2" t="inlineStr">
        <is>
          <t>The retrieved evidence does not establish the amount asked for: none of the retrieved sources states one, so no amount is given. The regulation may address the topic in general terms without stating one, or the relevant text may not have been retrieved. Sources consulted: FD&amp;C Act § 613(a) [21 U.S.C. 364i(a)], FD&amp;C Act § 613(b) [21 U.S.C. 364i(b)], FD&amp;C Act § 604(3) [21 U.S.C. 364(3)].</t>
        </is>
      </c>
      <c r="D58" s="2" t="inlineStr">
        <is>
          <t>FAIL</t>
        </is>
      </c>
      <c r="E58" s="2" t="inlineStr">
        <is>
          <t>Declined ('no amount is given') and listed 613/604(3) as sources. It never identifies the $800,000 three-year average of U.S. cosmetic sales under 612(a) as the relevant figure, or the 612(b) condition.</t>
        </is>
      </c>
      <c r="F58" s="2" t="inlineStr">
        <is>
          <t>612(a) uses average gross annual sales in the United States of cosmetic products for the previous 3-year period, less than $1,000,000 adjusted for inflation. On these facts the relevant figure is the $800,000 U.S. cosmetic-sales average, not total sales. The person must also not manufacture or process 612(b) products. No determination is given.</t>
        </is>
      </c>
      <c r="G58" s="3" t="n">
        <v>16.3</v>
      </c>
      <c r="H58" s="2" t="n"/>
      <c r="I58" s="2" t="n"/>
      <c r="J58" s="2" t="inlineStr">
        <is>
          <t>Execution failure: inspect serve_ui.log and the measurement record for this question, then re-run it as a separately labelled attempt.</t>
        </is>
      </c>
      <c r="K58" s="2" t="inlineStr">
        <is>
          <t>Fallback: value not established</t>
        </is>
      </c>
      <c r="L58" s="2" t="inlineStr">
        <is>
          <t>FDCA</t>
        </is>
      </c>
    </row>
    <row r="59">
      <c r="A59" s="2" t="inlineStr">
        <is>
          <t>UC-COS-002</t>
        </is>
      </c>
      <c r="B59" s="2" t="inlineStr">
        <is>
          <t>An FDA investigator asked our contract manufacturer for personnel records. Can FDA demand our employees' training and qualification files, and under what conditions?</t>
        </is>
      </c>
      <c r="C59" s="2" t="inlineStr">
        <is>
          <t>The generated answer could not be validated against the retrieved regulatory evidence, so it is not shown. The retrieved sources were not verified to answer the question as asked, so their text is not quoted as an answer. Sources consulted: 21 CFR 80.39(a), 21 CFR 80.39(b), 21 CFR 80.39(b)(1), 21 CFR 80.39(b)(2), 21 CFR 80.39(c).</t>
        </is>
      </c>
      <c r="D59" s="2" t="inlineStr">
        <is>
          <t>FAIL</t>
        </is>
      </c>
      <c r="E59" s="2" t="inlineStr">
        <is>
          <t>Answer withheld; no substantive response. Misses 610 records access (SAHCOD belief, credentials and written notice), the personnel-data exclusion with its exception for technical and professional qualifications, and 704.</t>
        </is>
      </c>
      <c r="F59" s="2" t="inlineStr">
        <is>
          <t>Under 610, if FDA reasonably believes a product/ingredient is likely adulterated so as to present a threat of serious adverse health consequences or death, responsible persons and facilities must permit access to related records on credentials and written notice. Personnel data is excluded, except data on qualifications of technical and professional personnel performing functions under the Act. No codified training-record retention rule exists.</t>
        </is>
      </c>
      <c r="G59" s="3" t="n">
        <v>48.8</v>
      </c>
      <c r="H59" s="2" t="n">
        <v>1235</v>
      </c>
      <c r="I59" s="2" t="n">
        <v>474</v>
      </c>
      <c r="J59" s="2" t="inlineStr">
        <is>
          <t>Execution failure: inspect serve_ui.log and the measurement record for this question, then re-run it as a separately labelled attempt.</t>
        </is>
      </c>
      <c r="K59" s="2" t="inlineStr">
        <is>
          <t>Withheld by validator (no answer shown)</t>
        </is>
      </c>
      <c r="L59" s="2" t="inlineStr"/>
    </row>
    <row r="60">
      <c r="A60" s="2" t="inlineStr">
        <is>
          <t>UC-COS-005</t>
        </is>
      </c>
      <c r="B60" s="2" t="inlineStr">
        <is>
          <t>We're a contract filler. How often must we calibrate our scales and pH meters for cosmetic batches, and what calibration records does FDA require?</t>
        </is>
      </c>
      <c r="C60" s="2" t="inlineStr">
        <is>
          <t>The available regulatory sources do not provide enough information to answer this question regarding calibration frequency for scales and pH meters in cosmetic batch manufacturing or the specific calibration records required by FDA for such activities.</t>
        </is>
      </c>
      <c r="D60" s="2" t="inlineStr">
        <is>
          <t>FAIL</t>
        </is>
      </c>
      <c r="E60" s="2" t="inlineStr">
        <is>
          <t>Plain decline with no citation. It does not say the regulation is silent on calibration frequency and records, and does not mention 606 GMP status as the key requires.</t>
        </is>
      </c>
      <c r="F60" s="2" t="inlineStr">
        <is>
          <t>Correct answer: no codified calibration frequency or calibration-record requirement exists for cosmetics. 606 directs FDA to issue GMP regulations (deadline: proposed within 2 yrs, final within 3 yrs of Dec 29, 2022) but none has been proposed or finalized as of Oct 2026. Calibration is a voluntary/contractual practice; must not invent a frequency.</t>
        </is>
      </c>
      <c r="G60" s="3" t="n">
        <v>33.6</v>
      </c>
      <c r="H60" s="2" t="n">
        <v>1764</v>
      </c>
      <c r="I60" s="2" t="n">
        <v>38</v>
      </c>
      <c r="J60" s="2" t="inlineStr">
        <is>
          <t>Execution failure: inspect serve_ui.log and the measurement record for this question, then re-run it as a separately labelled attempt.</t>
        </is>
      </c>
      <c r="K60" s="2" t="inlineStr">
        <is>
          <t>Generated answer</t>
        </is>
      </c>
      <c r="L60" s="2" t="inlineStr"/>
    </row>
    <row r="61">
      <c r="A61" s="2" t="inlineStr">
        <is>
          <t>UC-COS-008</t>
        </is>
      </c>
      <c r="B61" s="2" t="inlineStr">
        <is>
          <t>Does FDA require us to keep written cleaning SOPs and daily sanitation logs for our cosmetic production room? How long must we keep them?</t>
        </is>
      </c>
      <c r="C61" s="2" t="inlineStr">
        <is>
          <t>The generated answer could not be validated against the retrieved regulatory evidence, so it is not shown. The retrieved sources were not verified to answer the question as asked, so their text is not quoted as an answer. Sources consulted: FD&amp;C Act § 606(a) [21 U.S.C. 364b(a)], FD&amp;C Act § 606(b) [21 U.S.C. 364b(b)], FD&amp;C Act § 606(c) [21 U.S.C. 364b(c)].</t>
        </is>
      </c>
      <c r="D61" s="2" t="inlineStr">
        <is>
          <t>FAIL</t>
        </is>
      </c>
      <c r="E61" s="2" t="inlineStr">
        <is>
          <t>Answer withheld; no substantive response. Misses that no SOP, sanitation-log or retention requirement is codified, that 606 rules are not issued, and that 601(c) applies.</t>
        </is>
      </c>
      <c r="F61" s="2" t="inlineStr">
        <is>
          <t>Correct answer: Title 21 has no codified requirement for written cleaning SOPs or sanitation logs for cosmetics, and no retention period; 606 GMP regulations not yet proposed/final. Documentation is a practical way to show conditions are not insanitary under 601(c) but is not a codified obligation. Must not cite a retention period.</t>
        </is>
      </c>
      <c r="G61" s="3" t="n">
        <v>42.6</v>
      </c>
      <c r="H61" s="2" t="n">
        <v>1253</v>
      </c>
      <c r="I61" s="2" t="n">
        <v>393</v>
      </c>
      <c r="J61" s="2" t="inlineStr">
        <is>
          <t>Execution failure: inspect serve_ui.log and the measurement record for this question, then re-run it as a separately labelled attempt.</t>
        </is>
      </c>
      <c r="K61" s="2" t="inlineStr">
        <is>
          <t>Withheld by validator (no answer shown)</t>
        </is>
      </c>
      <c r="L61" s="2" t="inlineStr"/>
    </row>
    <row r="62">
      <c r="A62" s="2" t="inlineStr">
        <is>
          <t>UC-COS-010</t>
        </is>
      </c>
      <c r="B62" s="2" t="inlineStr">
        <is>
          <t>Do we legally need a licensed pest-control contractor for our small cosmetics plant?</t>
        </is>
      </c>
      <c r="C62" s="2"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Labeling of Plant-Based Milk Alternatives and Voluntary Nutrient Statements (draft, 2023-02-10, Docket FDA-2023-D-0451), FDA Guidance: Draft Guidance for Industry: Labeling of Plant-Based Alternatives to Animal-Derived Foods (draft, 2025-01-06, Docket FDA-2022-D-1102), 21 CFR 511.1(f)(1), 21 CFR 511.1(g).</t>
        </is>
      </c>
      <c r="D62" s="2" t="inlineStr">
        <is>
          <t>FAIL</t>
        </is>
      </c>
      <c r="E62" s="2" t="inlineStr">
        <is>
          <t>Answer withheld; the sources consulted were irrelevant (plant-based food guidance, 21 CFR 511.1). Misses that no pest-control requirement is codified, the 601(b)-(c) adulteration provisions, and 606 status.</t>
        </is>
      </c>
      <c r="F62" s="2" t="inlineStr">
        <is>
          <t>Correct answer: no codified Title 21 requirement for a pest-control contractor or program for cosmetics. What applies: 601(c) insanitary conditions (contamination with filth) and 601(b) filthy substance; pest activity can render product adulterated. 606 GMP rule not proposed/final as of Oct 2026. State/local licensing outside Title 21 not addressed. No compliance guarantee.</t>
        </is>
      </c>
      <c r="G62" s="3" t="n">
        <v>30.7</v>
      </c>
      <c r="H62" s="2" t="n">
        <v>1524</v>
      </c>
      <c r="I62" s="2" t="n">
        <v>57</v>
      </c>
      <c r="J62" s="2" t="inlineStr">
        <is>
          <t>Execution failure: inspect serve_ui.log and the measurement record for this question, then re-run it as a separately labelled attempt.</t>
        </is>
      </c>
      <c r="K62" s="2" t="inlineStr">
        <is>
          <t>Withheld by validator (no answer shown)</t>
        </is>
      </c>
      <c r="L62" s="2" t="inlineStr"/>
    </row>
    <row r="63">
      <c r="A63" s="2" t="inlineStr">
        <is>
          <t>UC-COS-014</t>
        </is>
      </c>
      <c r="B63" s="2" t="inlineStr">
        <is>
          <t>We're a 3PL holding finished cosmetics for several indie brands. Do we have to register with FDA and monitor storage temperatures?</t>
        </is>
      </c>
      <c r="C63" s="2" t="inlineStr">
        <is>
          <t>The generated answer could not be validated against the retrieved regulatory evidence, so it is not shown. The retrieved sources were not verified to answer the question as asked, so their text is not quoted as an answer. Sources consulted: 21 CFR 710.9, 21 CFR 710.9(a), 21 CFR 710.9(b), 21 CFR 710.9(c), 21 CFR 700.3(b).</t>
        </is>
      </c>
      <c r="D63" s="2" t="inlineStr">
        <is>
          <t>FAIL</t>
        </is>
      </c>
      <c r="E63" s="2" t="inlineStr">
        <is>
          <t>Withheld; no substantive answer. Key requires the 604 'facility' exclusion for hold/distribute-only establishments (so no 607 registration), no codified temperature monitoring, and 601(c), and none appears.</t>
        </is>
      </c>
      <c r="F63" s="2" t="inlineStr">
        <is>
          <t>Establishments that solely hold or distribute are excluded from 'facility', so 607 registration does not apply to the 3PL. No codified temperature-monitoring requirement. 601(c) still applies to products held under insanitary conditions. Temperature conditions are set contractually with brand owners. No compliance guarantee.</t>
        </is>
      </c>
      <c r="G63" s="3" t="n">
        <v>49.3</v>
      </c>
      <c r="H63" s="2" t="n">
        <v>1234</v>
      </c>
      <c r="I63" s="2" t="n">
        <v>382</v>
      </c>
      <c r="J63" s="2" t="inlineStr">
        <is>
          <t>Execution failure: inspect serve_ui.log and the measurement record for this question, then re-run it as a separately labelled attempt.</t>
        </is>
      </c>
      <c r="K63" s="2" t="inlineStr">
        <is>
          <t>Withheld by validator (no answer shown)</t>
        </is>
      </c>
      <c r="L63" s="2" t="inlineStr"/>
    </row>
    <row r="64">
      <c r="A64" s="2" t="inlineStr">
        <is>
          <t>UC-COS-018</t>
        </is>
      </c>
      <c r="B64" s="2" t="inlineStr">
        <is>
          <t>What complaint/adverse-event records must our indie brand keep, for how long, and does FDA require a written complaint-handling SOP and investigation of every complaint?</t>
        </is>
      </c>
      <c r="C64" s="2" t="inlineStr">
        <is>
          <t>The available regulatory sources do not address requirements for maintaining records of consumer complaints or adverse events, retention periods for such records, a written complaint-handling SOP, or mandatory investigation of every complaint for an indie brand under 21 CFR 71.15.
Adverse reaction reports, product experience reports, and consumer complaints are considered confidential data in color additive petitions and may be redacted to remove names and any information that would identify the person using the product or a third party involved with the report [4](i), [4](ii).  
No retention period is specified for these records in 21 CFR 71.15.  
There is no requirement under 21 CFR 71.15 for an indie brand to maintain a written complaint-handling SOP or to investigate every complaint.  
[4]
The retrieved evidence does not establish the time period or frequency asked for.</t>
        </is>
      </c>
      <c r="D64" s="2" t="inlineStr">
        <is>
          <t>FAIL</t>
        </is>
      </c>
      <c r="E64" s="2" t="inlineStr">
        <is>
          <t>Relies on 21 CFR 71.15 (color additive petition confidentiality), which does not govern the question, and says no retention period is specified. That would mislead the user: it omits the 605(e) 6-year AE record retention (3 years for qualifying small businesses), FDA access, and the 609(a) label contact requirement.</t>
        </is>
      </c>
      <c r="F64" s="2" t="inlineStr">
        <is>
          <t>Must state: records related to each adverse event report kept 6 years; 3 years for small businesses (&lt;$1,000,000, inflation-adjusted, average gross annual U.S. sales over prior 3 years) not making 612(b) products; FDA access during 704 inspection. Label must carry domestic address, phone or electronic contact for AE reports. No codified written complaint SOP or mandatory investigation of every non-AE complaint for cosmetics.</t>
        </is>
      </c>
      <c r="G64" s="3" t="n">
        <v>54.4</v>
      </c>
      <c r="H64" s="2" t="n">
        <v>2866</v>
      </c>
      <c r="I64" s="2" t="n">
        <v>170</v>
      </c>
      <c r="J64" s="2" t="inlineStr">
        <is>
          <t>Execution failure: inspect serve_ui.log and the measurement record for this question, then re-run it as a separately labelled attempt.</t>
        </is>
      </c>
      <c r="K64" s="2" t="inlineStr">
        <is>
          <t>Generated answer</t>
        </is>
      </c>
      <c r="L64" s="2" t="inlineStr"/>
    </row>
  </sheetData>
  <autoFilter ref="A1:L64"/>
  <conditionalFormatting sqref="D2:D64">
    <cfRule type="expression" priority="1" dxfId="0" stopIfTrue="1">
      <formula>$D2="PASS"</formula>
    </cfRule>
    <cfRule type="expression" priority="2" dxfId="1" stopIfTrue="1">
      <formula>$D2="PARTIALLY PASS"</formula>
    </cfRule>
    <cfRule type="expression" priority="3" dxfId="2" stopIfTrue="1">
      <formula>$D2="PARTIALLY FAIL"</formula>
    </cfRule>
    <cfRule type="expression" priority="4" dxfId="3" stopIfTrue="1">
      <formula>$D2="FAIL"</formula>
    </cfRule>
    <cfRule type="expression" priority="5" dxfId="4" stopIfTrue="1">
      <formula>$D2="NOT EVALUATED"</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zoomScale="100"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Item</t>
        </is>
      </c>
      <c r="B1" s="1" t="inlineStr">
        <is>
          <t>Value</t>
        </is>
      </c>
    </row>
    <row r="2">
      <c r="A2" s="22" t="inlineStr">
        <is>
          <t>Holdout</t>
        </is>
      </c>
      <c r="B2" s="2" t="inlineStr">
        <is>
          <t>100 questions drawn (seed 20261022) from the 177 bank questions never used in development; frozen before any result (selection.json sha256 a378d0bdb496…).</t>
        </is>
      </c>
    </row>
    <row r="3">
      <c r="A3" s="22" t="inlineStr">
        <is>
          <t>Code</t>
        </is>
      </c>
      <c r="B3" s="2" t="inlineStr">
        <is>
          <t>git fbd2e60 + uncommitted working tree (diff sha256 f51e606a0057…); per-file sha256 in run_provenance.json.</t>
        </is>
      </c>
    </row>
    <row r="4">
      <c r="A4" s="22" t="inlineStr">
        <is>
          <t>Database</t>
        </is>
      </c>
      <c r="B4" s="2" t="inlineStr">
        <is>
          <t>{"rows": 65408, "sections": 7829, "first_snapshot": "2026-09-03", "last_snapshot": "2026-09-03", "sha256": "75fb6482775a124bbe11dc84cd7d8908204c4ba4f8bfd5c361ac5ff790616106"}</t>
        </is>
      </c>
    </row>
    <row r="5">
      <c r="A5" s="22" t="inlineStr">
        <is>
          <t>Run directory</t>
        </is>
      </c>
      <c r="B5" s="2" t="inlineStr">
        <is>
          <t>artifacts/cosmetics_benchmark/holdout100_20261022/ (answers.jsonl, run.log, run_provenance.json, wb_run/)</t>
        </is>
      </c>
    </row>
    <row r="6">
      <c r="A6" s="22" t="inlineStr">
        <is>
          <t>Evaluation rubric and category mapping</t>
        </is>
      </c>
      <c r="B6" s="2" t="inlineStr">
        <is>
          <t>Each answer is scored on the question bank's rubric (the Scoring Rubric of the main Regulus acceptance benchmark, which the bank's Instructions sheet names) against the bank's VERIFIED key: Citation Exact (1/0), Fabricated Citation (1/0, 1 = failure), Substantive (0-2), Completeness (0-2), Scope Discipline (1/0). ISO concordance is not scored (every selected row's ISO clause is '—'). The five scores are mapped to the reporting category deterministically, in this order: (1) no answer returned (execution ERROR/TIMEOUT) -&gt; NOT EVALUATED; (2) Substantive 0 -&gt; FAIL; (3) Substantive 1 -&gt; PARTIALLY FAIL; (4) Substantive 2 with Fabricated 1, Scope 0 or Completeness 0 -&gt; PARTIALLY FAIL; (5) Substantive 2, Completeness 2, Citation Exact 1, Fabricated 0, Scope 1 -&gt; PASS; (6) otherwise (Substantive 2 with Completeness 1 and/or Citation Exact 0) -&gt; PARTIALLY PASS. An answer withheld by the validator, or any other decline, on a question the verified key answers scores Substantive 0 / Completeness 0 and is FAIL (no supported answer where one is required); it is an evaluated outcome, not NOT EVALUATED. The project's own live evaluator (regulus_live_evidence_assessment_v2) is recorded beside it but does not decide the category: it compares the answer with the evidence retrieved for it and uses no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2026-10-22T11:36:40Z</dcterms:created>
  <dcterms:modified xsi:type="dcterms:W3CDTF">2026-10-22T11:36:40Z</dcterms:modified>
</cp:coreProperties>
</file>