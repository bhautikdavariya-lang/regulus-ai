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 Results" sheetId="1" state="visible" r:id="rId1"/>
    <sheet name="Summary" sheetId="2" state="visible" r:id="rId2"/>
    <sheet name="Failed and Partial Questions" sheetId="3" state="visible" r:id="rId3"/>
    <sheet name="Run Metadata" sheetId="4" state="visible" r:id="rId4"/>
  </sheets>
  <definedNames>
    <definedName name="_xlnm._FilterDatabase" localSheetId="0" hidden="1">'Question Results'!$A$1:$AI$101</definedName>
    <definedName name="_xlnm._FilterDatabase" localSheetId="2" hidden="1">'Failed and Partial Questions'!$A$1:$L$100</definedName>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00"/>
    <numFmt numFmtId="167" formatCode="#,##0.0"/>
  </numFmts>
  <fonts count="12">
    <font>
      <name val="Calibri"/>
      <family val="2"/>
      <color theme="1"/>
      <sz val="11"/>
      <scheme val="minor"/>
    </font>
    <font>
      <name val="Arial"/>
      <b val="1"/>
      <color rgb="00FFFFFF"/>
      <sz val="10"/>
    </font>
    <font>
      <name val="Arial"/>
      <sz val="10"/>
    </font>
    <font>
      <name val="Arial"/>
      <b val="1"/>
      <color rgb="001F3864"/>
      <sz val="14"/>
    </font>
    <font>
      <name val="Arial"/>
      <i val="1"/>
      <color rgb="00595959"/>
      <sz val="9"/>
    </font>
    <font>
      <name val="Arial"/>
      <b val="1"/>
      <color rgb="001F3864"/>
      <sz val="11"/>
    </font>
    <font>
      <name val="Arial"/>
      <b val="1"/>
      <color rgb="00006100"/>
      <sz val="10"/>
    </font>
    <font>
      <name val="Arial"/>
      <b val="1"/>
      <color rgb="00375623"/>
      <sz val="10"/>
    </font>
    <font>
      <name val="Arial"/>
      <b val="1"/>
      <color rgb="00833C0B"/>
      <sz val="10"/>
    </font>
    <font>
      <name val="Arial"/>
      <b val="1"/>
      <color rgb="009C0006"/>
      <sz val="10"/>
    </font>
    <font>
      <name val="Arial"/>
      <b val="1"/>
      <color rgb="00404040"/>
      <sz val="10"/>
    </font>
    <font>
      <name val="Arial"/>
      <b val="1"/>
      <sz val="10"/>
    </font>
  </fonts>
  <fills count="9">
    <fill>
      <patternFill/>
    </fill>
    <fill>
      <patternFill patternType="gray125"/>
    </fill>
    <fill>
      <patternFill patternType="solid">
        <fgColor rgb="001F3864"/>
      </patternFill>
    </fill>
    <fill>
      <patternFill patternType="solid">
        <fgColor rgb="00D9E1F2"/>
      </patternFill>
    </fill>
    <fill>
      <patternFill patternType="solid">
        <fgColor rgb="00C6EFCE"/>
      </patternFill>
    </fill>
    <fill>
      <patternFill patternType="solid">
        <fgColor rgb="00E2EFDA"/>
      </patternFill>
    </fill>
    <fill>
      <patternFill patternType="solid">
        <fgColor rgb="00FCE4D6"/>
      </patternFill>
    </fill>
    <fill>
      <patternFill patternType="solid">
        <fgColor rgb="00FFC7CE"/>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164" fontId="2" fillId="0" borderId="1" applyAlignment="1" pivotButton="0" quotePrefix="0" xfId="0">
      <alignment vertical="top" wrapText="1"/>
    </xf>
    <xf numFmtId="3" fontId="2" fillId="0" borderId="1" applyAlignment="1" pivotButton="0" quotePrefix="0" xfId="0">
      <alignment vertical="top" wrapText="1"/>
    </xf>
    <xf numFmtId="0" fontId="3" fillId="0" borderId="0" pivotButton="0" quotePrefix="0" xfId="0"/>
    <xf numFmtId="0" fontId="4" fillId="0" borderId="0" pivotButton="0" quotePrefix="0" xfId="0"/>
    <xf numFmtId="0" fontId="5" fillId="3" borderId="0" pivotButton="0" quotePrefix="0" xfId="0"/>
    <xf numFmtId="0" fontId="2" fillId="0" borderId="1" applyAlignment="1" pivotButton="0" quotePrefix="0" xfId="0">
      <alignment horizontal="right" vertical="top" wrapText="1"/>
    </xf>
    <xf numFmtId="0" fontId="4" fillId="0" borderId="1" applyAlignment="1" pivotButton="0" quotePrefix="0" xfId="0">
      <alignment vertical="top" wrapText="1"/>
    </xf>
    <xf numFmtId="1" fontId="2" fillId="0" borderId="1" applyAlignment="1" pivotButton="0" quotePrefix="0" xfId="0">
      <alignment horizontal="right" vertical="top" wrapText="1"/>
    </xf>
    <xf numFmtId="0" fontId="1" fillId="0" borderId="1" applyAlignment="1" pivotButton="0" quotePrefix="0" xfId="0">
      <alignment horizontal="center" vertical="center" wrapText="1"/>
    </xf>
    <xf numFmtId="0" fontId="6" fillId="4" borderId="1" pivotButton="0" quotePrefix="0" xfId="0"/>
    <xf numFmtId="1" fontId="2" fillId="0" borderId="1" pivotButton="0" quotePrefix="0" xfId="0"/>
    <xf numFmtId="165" fontId="2" fillId="0" borderId="1" pivotButton="0" quotePrefix="0" xfId="0"/>
    <xf numFmtId="0" fontId="7" fillId="5" borderId="1" pivotButton="0" quotePrefix="0" xfId="0"/>
    <xf numFmtId="0" fontId="8" fillId="6" borderId="1" pivotButton="0" quotePrefix="0" xfId="0"/>
    <xf numFmtId="0" fontId="9" fillId="7" borderId="1" pivotButton="0" quotePrefix="0" xfId="0"/>
    <xf numFmtId="0" fontId="10" fillId="8" borderId="1" pivotButton="0" quotePrefix="0" xfId="0"/>
    <xf numFmtId="0" fontId="2" fillId="0" borderId="1" pivotButton="0" quotePrefix="0" xfId="0"/>
    <xf numFmtId="0" fontId="11" fillId="0" borderId="1" pivotButton="0" quotePrefix="0" xfId="0"/>
    <xf numFmtId="0" fontId="4" fillId="0" borderId="1" pivotButton="0" quotePrefix="0" xfId="0"/>
    <xf numFmtId="0" fontId="11" fillId="0" borderId="1" applyAlignment="1" pivotButton="0" quotePrefix="0" xfId="0">
      <alignment vertical="top" wrapText="1"/>
    </xf>
    <xf numFmtId="165" fontId="11" fillId="0" borderId="1" applyAlignment="1" pivotButton="0" quotePrefix="0" xfId="0">
      <alignment horizontal="right" vertical="top" wrapText="1"/>
    </xf>
    <xf numFmtId="165" fontId="2" fillId="0" borderId="1" applyAlignment="1" pivotButton="0" quotePrefix="0" xfId="0">
      <alignment horizontal="right" vertical="top" wrapText="1"/>
    </xf>
    <xf numFmtId="166" fontId="2" fillId="0" borderId="1" applyAlignment="1" pivotButton="0" quotePrefix="0" xfId="0">
      <alignment horizontal="right" vertical="top" wrapText="1"/>
    </xf>
    <xf numFmtId="164" fontId="11" fillId="0" borderId="1" applyAlignment="1" pivotButton="0" quotePrefix="0" xfId="0">
      <alignment horizontal="right" vertical="top" wrapText="1"/>
    </xf>
    <xf numFmtId="164" fontId="2" fillId="0" borderId="1" applyAlignment="1" pivotButton="0" quotePrefix="0" xfId="0">
      <alignment horizontal="right" vertical="top" wrapText="1"/>
    </xf>
    <xf numFmtId="167" fontId="2" fillId="0" borderId="1" applyAlignment="1" pivotButton="0" quotePrefix="0" xfId="0">
      <alignment horizontal="right" vertical="top" wrapText="1"/>
    </xf>
    <xf numFmtId="3" fontId="2" fillId="0" borderId="1" applyAlignment="1" pivotButton="0" quotePrefix="0" xfId="0">
      <alignment horizontal="right" vertical="top" wrapText="1"/>
    </xf>
  </cellXfs>
  <cellStyles count="1">
    <cellStyle name="Normal" xfId="0" builtinId="0" hidden="0"/>
  </cellStyles>
  <dxfs count="5">
    <dxf>
      <font>
        <name val="Arial"/>
        <b val="1"/>
        <color rgb="00006100"/>
      </font>
      <fill>
        <patternFill patternType="solid">
          <fgColor rgb="00C6EFCE"/>
        </patternFill>
      </fill>
    </dxf>
    <dxf>
      <font>
        <name val="Arial"/>
        <b val="1"/>
        <color rgb="00375623"/>
      </font>
      <fill>
        <patternFill patternType="solid">
          <fgColor rgb="00E2EFDA"/>
        </patternFill>
      </fill>
    </dxf>
    <dxf>
      <font>
        <name val="Arial"/>
        <b val="1"/>
        <color rgb="00833C0B"/>
      </font>
      <fill>
        <patternFill patternType="solid">
          <fgColor rgb="00FCE4D6"/>
        </patternFill>
      </fill>
    </dxf>
    <dxf>
      <font>
        <name val="Arial"/>
        <b val="1"/>
        <color rgb="009C0006"/>
      </font>
      <fill>
        <patternFill patternType="solid">
          <fgColor rgb="00FFC7CE"/>
        </patternFill>
      </fill>
    </dxf>
    <dxf>
      <font>
        <name val="Arial"/>
        <b val="1"/>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Evaluation outcome (100 questions)</a:t>
            </a:r>
          </a:p>
        </rich>
      </tx>
    </title>
    <plotArea>
      <barChart>
        <barDir val="col"/>
        <grouping val="clustered"/>
        <ser>
          <idx val="0"/>
          <order val="0"/>
          <tx>
            <strRef>
              <f>'Summary'!C19</f>
            </strRef>
          </tx>
          <spPr>
            <a:ln>
              <a:prstDash val="solid"/>
            </a:ln>
          </spPr>
          <dPt>
            <idx val="0"/>
            <spPr>
              <a:solidFill>
                <a:srgbClr val="70AD47"/>
              </a:solidFill>
              <a:ln>
                <a:prstDash val="solid"/>
              </a:ln>
            </spPr>
          </dPt>
          <dPt>
            <idx val="1"/>
            <spPr>
              <a:solidFill>
                <a:srgbClr val="A9D08E"/>
              </a:solidFill>
              <a:ln>
                <a:prstDash val="solid"/>
              </a:ln>
            </spPr>
          </dPt>
          <dPt>
            <idx val="2"/>
            <spPr>
              <a:solidFill>
                <a:srgbClr val="F4B183"/>
              </a:solidFill>
              <a:ln>
                <a:prstDash val="solid"/>
              </a:ln>
            </spPr>
          </dPt>
          <dPt>
            <idx val="3"/>
            <spPr>
              <a:solidFill>
                <a:srgbClr val="E06666"/>
              </a:solidFill>
              <a:ln>
                <a:prstDash val="solid"/>
              </a:ln>
            </spPr>
          </dPt>
          <dPt>
            <idx val="4"/>
            <spPr>
              <a:solidFill>
                <a:srgbClr val="A6A6A6"/>
              </a:solidFill>
              <a:ln>
                <a:prstDash val="solid"/>
              </a:ln>
            </spPr>
          </dPt>
          <cat>
            <numRef>
              <f>'Summary'!$B$20:$B$24</f>
            </numRef>
          </cat>
          <val>
            <numRef>
              <f>'Summary'!$C$20:$C$24</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Questions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3</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I101"/>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50" customWidth="1" min="2" max="2"/>
    <col width="60" customWidth="1" min="3" max="3"/>
    <col width="70" customWidth="1" min="4" max="4"/>
    <col width="15" customWidth="1" min="5" max="5"/>
    <col width="60" customWidth="1" min="6" max="6"/>
    <col width="11" customWidth="1" min="7" max="7"/>
    <col width="10" customWidth="1" min="8" max="8"/>
    <col width="10" customWidth="1" min="9" max="9"/>
    <col width="18" customWidth="1" min="10" max="10"/>
    <col width="18" customWidth="1" min="11" max="11"/>
    <col width="11" customWidth="1" min="12" max="12"/>
    <col width="22" customWidth="1" min="13" max="13"/>
    <col width="60" customWidth="1" min="14" max="14"/>
    <col width="7" customWidth="1" min="15" max="15"/>
    <col width="10" customWidth="1" min="16" max="16"/>
    <col width="14" customWidth="1" min="17" max="17"/>
    <col width="11" customWidth="1" min="18" max="18"/>
    <col width="26" customWidth="1" min="19" max="19"/>
    <col width="9" customWidth="1" min="20" max="20"/>
    <col width="10" customWidth="1" min="21" max="21"/>
    <col width="10" customWidth="1" min="22" max="22"/>
    <col width="11" customWidth="1" min="23" max="23"/>
    <col width="10" customWidth="1" min="24" max="24"/>
    <col width="22" customWidth="1" min="25" max="25"/>
    <col width="34" customWidth="1" min="26" max="26"/>
    <col width="28" customWidth="1" min="27" max="27"/>
    <col width="15" customWidth="1" min="28" max="28"/>
    <col width="11" customWidth="1" min="29" max="29"/>
    <col width="50" customWidth="1" min="30" max="30"/>
    <col width="10" customWidth="1" min="31" max="31"/>
    <col width="10" customWidth="1" min="32" max="32"/>
    <col width="10" customWidth="1" min="33" max="33"/>
    <col width="10" customWidth="1" min="34" max="34"/>
    <col width="30" customWidth="1" min="35" max="35"/>
  </cols>
  <sheetData>
    <row r="1" ht="42" customHeight="1">
      <c r="A1" s="1" t="inlineStr">
        <is>
          <t>Question ID</t>
        </is>
      </c>
      <c r="B1" s="1" t="inlineStr">
        <is>
          <t>Question</t>
        </is>
      </c>
      <c r="C1" s="1" t="inlineStr">
        <is>
          <t>Reference Answer</t>
        </is>
      </c>
      <c r="D1" s="1" t="inlineStr">
        <is>
          <t>Generated Answer</t>
        </is>
      </c>
      <c r="E1" s="1" t="inlineStr">
        <is>
          <t>Evaluation Status</t>
        </is>
      </c>
      <c r="F1" s="1" t="inlineStr">
        <is>
          <t>Evaluation Explanation</t>
        </is>
      </c>
      <c r="G1" s="1" t="inlineStr">
        <is>
          <t>Duration (seconds)</t>
        </is>
      </c>
      <c r="H1" s="1" t="inlineStr">
        <is>
          <t>Input Tokens</t>
        </is>
      </c>
      <c r="I1" s="1" t="inlineStr">
        <is>
          <t>Output Tokens</t>
        </is>
      </c>
      <c r="J1" s="1" t="inlineStr">
        <is>
          <t>Base Model</t>
        </is>
      </c>
      <c r="K1" s="1" t="inlineStr">
        <is>
          <t>Embedding Model</t>
        </is>
      </c>
      <c r="L1" s="1" t="inlineStr">
        <is>
          <t>Execution Status</t>
        </is>
      </c>
      <c r="M1" s="1" t="inlineStr">
        <is>
          <t>Error Details</t>
        </is>
      </c>
      <c r="N1" s="1" t="inlineStr">
        <is>
          <t>Retrieval Notes</t>
        </is>
      </c>
      <c r="O1" s="1" t="inlineStr">
        <is>
          <t>Run Order</t>
        </is>
      </c>
      <c r="P1" s="1" t="inlineStr">
        <is>
          <t>Part (Stratum)</t>
        </is>
      </c>
      <c r="Q1" s="1" t="inlineStr">
        <is>
          <t>Question Type</t>
        </is>
      </c>
      <c r="R1" s="1" t="inlineStr">
        <is>
          <t>Difficulty</t>
        </is>
      </c>
      <c r="S1" s="1" t="inlineStr">
        <is>
          <t>Expected Citation (Verified Key)</t>
        </is>
      </c>
      <c r="T1" s="1" t="inlineStr">
        <is>
          <t>Citation Exact (1/0)</t>
        </is>
      </c>
      <c r="U1" s="1" t="inlineStr">
        <is>
          <t>Fabricated Citation (1/0)</t>
        </is>
      </c>
      <c r="V1" s="1" t="inlineStr">
        <is>
          <t>Substantive (0-2)</t>
        </is>
      </c>
      <c r="W1" s="1" t="inlineStr">
        <is>
          <t>Completeness (0-2)</t>
        </is>
      </c>
      <c r="X1" s="1" t="inlineStr">
        <is>
          <t>Scope Discipline (1/0)</t>
        </is>
      </c>
      <c r="Y1" s="1" t="inlineStr">
        <is>
          <t>Delivered Answer Type</t>
        </is>
      </c>
      <c r="Z1" s="1" t="inlineStr">
        <is>
          <t>Validator Outcome</t>
        </is>
      </c>
      <c r="AA1" s="1" t="inlineStr">
        <is>
          <t>Citations in Answer</t>
        </is>
      </c>
      <c r="AB1" s="1" t="inlineStr">
        <is>
          <t>Regulus Live Evaluator Status</t>
        </is>
      </c>
      <c r="AC1" s="1" t="inlineStr">
        <is>
          <t>Live Evaluator Score (0-100)</t>
        </is>
      </c>
      <c r="AD1" s="1" t="inlineStr">
        <is>
          <t>Live Evaluator Explanation</t>
        </is>
      </c>
      <c r="AE1" s="1" t="inlineStr">
        <is>
          <t>Pipeline Time (s)</t>
        </is>
      </c>
      <c r="AF1" s="1" t="inlineStr">
        <is>
          <t>Retrieval Time (s)</t>
        </is>
      </c>
      <c r="AG1" s="1" t="inlineStr">
        <is>
          <t>Generation Time (s)</t>
        </is>
      </c>
      <c r="AH1" s="1" t="inlineStr">
        <is>
          <t>Live Evaluation Time (s)</t>
        </is>
      </c>
      <c r="AI1" s="1" t="inlineStr">
        <is>
          <t>Telemetry Notes</t>
        </is>
      </c>
    </row>
    <row r="2">
      <c r="A2" s="2" t="inlineStr">
        <is>
          <t>COS-70.3-Q1</t>
        </is>
      </c>
      <c r="B2" s="2" t="inlineStr">
        <is>
          <t>Our shimmer body lotion uses mica coated with iron oxides, and our lip scrub has cocoa powder that tints it brown. Are these 'color additives' in FDA's sense?</t>
        </is>
      </c>
      <c r="C2" s="2" t="inlineStr">
        <is>
          <t>70.3(f): a color additive is any dye, pigment or other substance, synthesized or derived from a vegetable, animal, mineral or other source, capable of imparting color when applied to a cosmetic or the body. Colorants intentionally used to color are color additives. Under (g), a material used solely for non-coloring purposes is exempt only if any color imparted is clearly unimportant to appearance, value, marketability or consumer acceptability.</t>
        </is>
      </c>
      <c r="D2" s="2" t="inlineStr">
        <is>
          <t>The available regulatory sources do not provide enough information to answer this question. [1]  
The requested provision requires that "color additives" are defined as substances capable of imparting a color to a food, drug, or cosmetic, and that they are not exempt under section 201(t) of the act. [1]  
The requested provision also requires that "color additives" must be made by a process of synthesis or similar artifice, or extracted, isolated, or otherwise derived, from a vegetable, animal, mineral, or other source. [1]  
The requested provision further requires that "color additives" must be capable of imparting a color to a container for foods, drugs, or cosmetics, unless the customary or reasonably foreseeable handling or use of the container may reasonably be expected to result in the transmittal of the color to the contents of the package or any part thereof. [1]</t>
        </is>
      </c>
      <c r="E2" s="2" t="inlineStr">
        <is>
          <t>PARTIALLY FAIL</t>
        </is>
      </c>
      <c r="F2" s="2" t="inlineStr">
        <is>
          <t>Partly correct. Restates parts of the 70.3(f) color-additive definition with a correct citation, but opens by saying the sources cannot answer, never applies the definition to the mica/iron-oxide shimmer or the cocoa tint (key: colorants intentionally used to color are color additives), turns the 70.3(f) container sentence into a requirement ('must be capable of imparting a color to a container'), and omits the 70.3(g) 'clearly unimportant' exemption test.</t>
        </is>
      </c>
      <c r="G2" s="3" t="n">
        <v>29.509</v>
      </c>
      <c r="H2" s="4" t="n">
        <v>1430</v>
      </c>
      <c r="I2" s="4" t="n">
        <v>186</v>
      </c>
      <c r="J2" s="2" t="inlineStr">
        <is>
          <t>Qwen/Qwen3-0.6B</t>
        </is>
      </c>
      <c r="K2" s="2" t="inlineStr">
        <is>
          <t>BAAI/bge-small-en-v1.5 (evaluator aligner; semantic retrieval not invoked)</t>
        </is>
      </c>
      <c r="L2" s="2" t="inlineStr">
        <is>
          <t>SUCCESS</t>
        </is>
      </c>
      <c r="M2" s="2" t="inlineStr"/>
      <c r="N2" s="2" t="inlineStr">
        <is>
          <t>Expected CFR section(s) 70.3: all in evidence; cited in answer: 70.3. Evidence (4): 21 CFR 70.3(f) [definition]; FDA Guidance: Characterization of Metallic Coatings and/or Calcium Phosphate Coatings on Orthopedic Devices: D [full_text_or]; 21 CFR 73.1350(a)(1) [full_text_or]; 21 CFR 73.3128(a) [full_text_or]. Query type GENERAL_REGULATORY_SEARCH; semantic fallback not invoked. Coverage evidence_complete=True.</t>
        </is>
      </c>
      <c r="O2" s="2" t="n">
        <v>1</v>
      </c>
      <c r="P2" s="2" t="inlineStr">
        <is>
          <t>70</t>
        </is>
      </c>
      <c r="Q2" s="2" t="inlineStr">
        <is>
          <t>Applicability</t>
        </is>
      </c>
      <c r="R2" s="2" t="inlineStr">
        <is>
          <t>Advanced</t>
        </is>
      </c>
      <c r="S2" s="2" t="inlineStr">
        <is>
          <t>21 CFR 70.3(f), (g)</t>
        </is>
      </c>
      <c r="T2" s="2" t="n">
        <v>1</v>
      </c>
      <c r="U2" s="2" t="n">
        <v>0</v>
      </c>
      <c r="V2" s="2" t="n">
        <v>1</v>
      </c>
      <c r="W2" s="2" t="n">
        <v>1</v>
      </c>
      <c r="X2" s="2" t="n">
        <v>1</v>
      </c>
      <c r="Y2" s="2" t="inlineStr">
        <is>
          <t>Generated answer</t>
        </is>
      </c>
      <c r="Z2" s="2" t="inlineStr">
        <is>
          <t>initial valid [qualifier_dropped] -&gt; final valid</t>
        </is>
      </c>
      <c r="AA2" s="2" t="inlineStr">
        <is>
          <t>[1] = 21 CFR 70.3(f)</t>
        </is>
      </c>
      <c r="AB2" s="2" t="inlineStr">
        <is>
          <t>NOT EVALUATED</t>
        </is>
      </c>
      <c r="AC2" s="2" t="n"/>
      <c r="AD2" s="2" t="inlineStr">
        <is>
          <t>Cannot be verified: 3 statement(s) address the question but none could be verified against the retrieved evidence</t>
        </is>
      </c>
      <c r="AE2" s="3" t="n">
        <v>29.206</v>
      </c>
      <c r="AF2" s="3" t="n">
        <v>7.871</v>
      </c>
      <c r="AG2" s="3" t="n">
        <v>21.322</v>
      </c>
      <c r="AH2" s="3" t="n">
        <v>0.298</v>
      </c>
      <c r="AI2" s="2" t="inlineStr"/>
    </row>
    <row r="3">
      <c r="A3" s="2" t="inlineStr">
        <is>
          <t>COS-70.3-Q3</t>
        </is>
      </c>
      <c r="B3" s="2" t="inlineStr">
        <is>
          <t>We make a brow tint, a lip gloss and a coal-tar-based permanent hair dye. How do FDA's color additive definitions treat 'area of the eye', 'externally applied' and the hair dye exemption?</t>
        </is>
      </c>
      <c r="C3" s="2" t="inlineStr">
        <is>
          <t>70.3(s): area of the eye includes the eyebrow, skin below it, eyelids, eyelashes, conjunctival sac, eyeball and soft areolar tissue within the infra-orbital ridge, so the brow tint is eye-area. (v): externally applied cosmetics exclude lips and mucous membranes, so lip gloss is not 'external'. (u): the 601(a) exemption covers coal tar hair dyes for hair, conditioned on a conspicuous statutory caution and patch-test directions.</t>
        </is>
      </c>
      <c r="D3" s="2" t="inlineStr">
        <is>
          <t>The FDA's color additive definitions treat "area of the eye" as defined in 21 CFR 70.3(s), which includes the supra-orbital and infra-orbital ridges, the eyelids, and eyelashes. "Externally applied" is defined in 21 CFR 70.3(v) as drugs or cosmetics applied to external parts of the body, excluding the lips and mucous membranes. The hair dye exemption in section 601(a) of the act applies to coal tar hair dyes intended for altering hair color, which are exempt if they contain color additives derived from coal tar and bear a caution label. The exemption does not apply to other hair dyes or ingredients not derived from coal tar. [1][4]</t>
        </is>
      </c>
      <c r="E3" s="2" t="inlineStr">
        <is>
          <t>PARTIALLY FAIL</t>
        </is>
      </c>
      <c r="F3" s="2" t="inlineStr">
        <is>
          <t>Partly correct. Correctly points to 70.3(s), (v) and (u) and states the lips/mucous-membrane exclusion from 'externally applied'. But the eye-area summary omits the eyebrow and skin below it (the key point that a brow tint is eye-area use), and the coal-tar hair-dye exemption is reduced to 'bear a caution label', dropping the patch-test-directions condition - an oversimplified conditional requirement.</t>
        </is>
      </c>
      <c r="G3" s="3" t="n">
        <v>29.209</v>
      </c>
      <c r="H3" s="4" t="n">
        <v>1364</v>
      </c>
      <c r="I3" s="4" t="n">
        <v>159</v>
      </c>
      <c r="J3" s="2" t="inlineStr">
        <is>
          <t>Qwen/Qwen3-0.6B</t>
        </is>
      </c>
      <c r="K3" s="2" t="inlineStr">
        <is>
          <t>BAAI/bge-small-en-v1.5 (evaluator aligner; semantic retrieval not invoked)</t>
        </is>
      </c>
      <c r="L3" s="2" t="inlineStr">
        <is>
          <t>SUCCESS</t>
        </is>
      </c>
      <c r="M3" s="2" t="inlineStr"/>
      <c r="N3" s="2" t="inlineStr">
        <is>
          <t>Expected CFR section(s) 70.3: all in evidence; cited in answer: 70.3. Evidence (4): 21 CFR 70.3(s) [definition]; 21 CFR 70.3(v) [definition]; 21 CFR 70.3(f) [definition]; 21 CFR 70.3(u) [definition]. Query type GENERAL_REGULATORY_SEARCH; semantic fallback not invoked. Coverage evidence_complete=True.</t>
        </is>
      </c>
      <c r="O3" s="2" t="n">
        <v>2</v>
      </c>
      <c r="P3" s="2" t="inlineStr">
        <is>
          <t>70</t>
        </is>
      </c>
      <c r="Q3" s="2" t="inlineStr">
        <is>
          <t>Applicability</t>
        </is>
      </c>
      <c r="R3" s="2" t="inlineStr">
        <is>
          <t>Advanced</t>
        </is>
      </c>
      <c r="S3" s="2" t="inlineStr">
        <is>
          <t>21 CFR 70.3(s), (u), (v)</t>
        </is>
      </c>
      <c r="T3" s="2" t="n">
        <v>1</v>
      </c>
      <c r="U3" s="2" t="n">
        <v>0</v>
      </c>
      <c r="V3" s="2" t="n">
        <v>1</v>
      </c>
      <c r="W3" s="2" t="n">
        <v>2</v>
      </c>
      <c r="X3" s="2" t="n">
        <v>1</v>
      </c>
      <c r="Y3" s="2" t="inlineStr">
        <is>
          <t>Generated answer</t>
        </is>
      </c>
      <c r="Z3" s="2" t="inlineStr">
        <is>
          <t>initial valid -&gt; final valid</t>
        </is>
      </c>
      <c r="AA3" s="2" t="inlineStr">
        <is>
          <t>[1] = 21 CFR 70.3(s); [4] = 21 CFR 70.3(u)</t>
        </is>
      </c>
      <c r="AB3" s="2" t="inlineStr">
        <is>
          <t>FAIL</t>
        </is>
      </c>
      <c r="AC3" s="2" t="n">
        <v>35</v>
      </c>
      <c r="AD3" s="2" t="inlineStr">
        <is>
          <t>Partially correct: 4 statement(s) could not be verified; 6 statement(s) only partly address the question - e.g. the regulation it corresponds to (21 CFR 70.3(s)) is about definit/area/eye</t>
        </is>
      </c>
      <c r="AE3" s="3" t="n">
        <v>28.795</v>
      </c>
      <c r="AF3" s="3" t="n">
        <v>4.052</v>
      </c>
      <c r="AG3" s="3" t="n">
        <v>24.728</v>
      </c>
      <c r="AH3" s="3" t="n">
        <v>0.406</v>
      </c>
      <c r="AI3" s="2" t="inlineStr"/>
    </row>
    <row r="4">
      <c r="A4" s="2" t="inlineStr">
        <is>
          <t>COS-70.19-Q2</t>
        </is>
      </c>
      <c r="B4" s="2" t="inlineStr">
        <is>
          <t>We need to amend a listing to add a cosmetic use and list a new diluent. What fees apply, how do we pay, and can a small company get relief?</t>
        </is>
      </c>
      <c r="C4" s="2" t="inlineStr">
        <is>
          <t>70.19(i): amendment or additional tolerance $1,800.00 for (a)/(b) items or $1,600.00 for (c) items. (j): listing a diluent under 80.35, $250.00. (p): pay by money order, bank draft or certified check to the order of the Food and Drug Administration, per the address in (p). (q): the Commissioner may waive or refund fees when that promotes the public interest; (r): anyone facing hardship may petition for waiver or refund.</t>
        </is>
      </c>
      <c r="D4" s="2"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Determining the Number of Employees for Purposes of the “Small Business” Definition in Parts 117 and 507 (final, 2019-06-19, Docket FDA-2018-D-0671), FDA Guidance: Generic Drug User Fee Amendments of 2012: Questions and Answers Related to User Fee Assessments: Guidance for Industry (final, 2016-11-22, Docket FDA-2012-D-0880), 21 CFR 70.19(o), 21 CFR 70.19(j).</t>
        </is>
      </c>
      <c r="E4" s="2" t="inlineStr">
        <is>
          <t>FAIL</t>
        </is>
      </c>
      <c r="F4" s="2" t="inlineStr">
        <is>
          <t>No answer delivered. The draft failed validation (degenerate output, truncation, prompt echo, repeated statement) and was replaced by a withholding notice. The key's fees ($1,800/$1,600 amendment, $250 diluent listing), payment method (70.19(p)) and waiver/refund relief (70.19(q)-(r)) were not provided. 70.19(j) and (o) were among the retrieved sources.</t>
        </is>
      </c>
      <c r="G4" s="3" t="n">
        <v>10.977</v>
      </c>
      <c r="H4" s="4" t="n">
        <v>1382</v>
      </c>
      <c r="I4" s="4" t="n">
        <v>64</v>
      </c>
      <c r="J4" s="2" t="inlineStr">
        <is>
          <t>Qwen/Qwen3-0.6B</t>
        </is>
      </c>
      <c r="K4" s="2" t="inlineStr">
        <is>
          <t>BAAI/bge-small-en-v1.5 (evaluator aligner; semantic retrieval not invoked)</t>
        </is>
      </c>
      <c r="L4" s="2" t="inlineStr">
        <is>
          <t>SUCCESS</t>
        </is>
      </c>
      <c r="M4" s="2" t="inlineStr"/>
      <c r="N4" s="2" t="inlineStr">
        <is>
          <t>Expected CFR section(s) 70.19: all in evidence; none cited in answer. Evidence (4): FDA Guidance: Guidance for Industry: Determining the Number of Employees for Purposes of the “Small Business”  [full_text_or]; FDA Guidance: Generic Drug User Fee Amendments of 2012: Questions and Answers Related to User Fee Assessments: [full_text_or]; 21 CFR 70.19(o) [full_text_or]; 21 CFR 70.19(j) [full_text_or]. Query type GENERAL_REGULATORY_SEARCH; semantic fallback not invoked. Coverage evidence_complete=True.</t>
        </is>
      </c>
      <c r="O4" s="2" t="n">
        <v>3</v>
      </c>
      <c r="P4" s="2" t="inlineStr">
        <is>
          <t>70</t>
        </is>
      </c>
      <c r="Q4" s="2" t="inlineStr">
        <is>
          <t>How to Comply</t>
        </is>
      </c>
      <c r="R4" s="2" t="inlineStr">
        <is>
          <t>Intermediate</t>
        </is>
      </c>
      <c r="S4" s="2" t="inlineStr">
        <is>
          <t>21 CFR 70.19(i), (j), (p)-(r)</t>
        </is>
      </c>
      <c r="T4" s="2" t="n">
        <v>0</v>
      </c>
      <c r="U4" s="2" t="n">
        <v>0</v>
      </c>
      <c r="V4" s="2" t="n">
        <v>0</v>
      </c>
      <c r="W4" s="2" t="n">
        <v>0</v>
      </c>
      <c r="X4" s="2" t="n">
        <v>1</v>
      </c>
      <c r="Y4" s="2" t="inlineStr">
        <is>
          <t>Withheld by validator (no answer shown)</t>
        </is>
      </c>
      <c r="Z4" s="2" t="inlineStr">
        <is>
          <t>initial degenerate [degenerate_output, truncated, prompt_echo, repeated_statement] -&gt; final unsupported; repair applied; fallback unvalidated_answer_withheld; stop repetition; generation hit token allowance</t>
        </is>
      </c>
      <c r="AA4" s="2" t="inlineStr"/>
      <c r="AB4" s="2" t="inlineStr">
        <is>
          <t>FAIL</t>
        </is>
      </c>
      <c r="AC4" s="2" t="n">
        <v>0</v>
      </c>
      <c r="AD4" s="2" t="inlineStr">
        <is>
          <t>Incorrect refusal: the generated answer failed validation and was suppressed, so the question went unanswered - the suppression was right, the outcome is still no answer</t>
        </is>
      </c>
      <c r="AE4" s="3" t="n">
        <v>10.97</v>
      </c>
      <c r="AF4" s="3" t="n">
        <v>3.051</v>
      </c>
      <c r="AG4" s="3" t="n">
        <v>7.905</v>
      </c>
      <c r="AH4" s="3" t="n">
        <v>0.002</v>
      </c>
      <c r="AI4" s="2" t="inlineStr"/>
    </row>
    <row r="5">
      <c r="A5" s="2" t="inlineStr">
        <is>
          <t>COS-70.50-Q1</t>
        </is>
      </c>
      <c r="B5" s="2" t="inlineStr">
        <is>
          <t>An older study suggests a colorant in our lip product (which may be ingested) caused tumors when fed to rats. How does FDA apply the cancer provision of section 721?</t>
        </is>
      </c>
      <c r="C5" s="2" t="inlineStr">
        <is>
          <t>70.50(a) applies when data suggest the possibility the additive, including components or impurities, induced cancer when ingested (1), or appropriate food-additive tests suggest it (2). On the judgment of appropriately qualified scientists, the Commissioner decides whether cancer was induced and the additive caused it. If not established, the cancer provision does not apply; listing follows if data establish safety. If it induces cancer, no regulation may permit its use.</t>
        </is>
      </c>
      <c r="D5" s="2" t="inlineStr">
        <is>
          <t>The generated answer could not be validated against the retrieved regulatory evidence, so it is not shown. The retrieved sources were not verified to answer the question as asked, so their text is not quoted as an answer. Sources consulted: FDA Guidance: Study Data Technical Conformance Guide - Technical Specifications Document (final, 2026-06-01, Docket FDA-2014-D-0092), FDA Guidance: Pediatric Study Plans: Content of and Process for Submitting Initial Pediatric Study Plans and Amended Initial Pediatric Study Plans (final, 2020-07-31, Docket FDA-2013-D-0814), 21 CFR 81.10(q)(1), 21 CFR 81.10(s).</t>
        </is>
      </c>
      <c r="E5" s="2" t="inlineStr">
        <is>
          <t>FAIL</t>
        </is>
      </c>
      <c r="F5" s="2" t="inlineStr">
        <is>
          <t>No answer delivered: the draft was withheld by the validator (unsupported figure, invented condition). 21 CFR 70.50 was not in the retrieved evidence (sources were 81.10(q)(1), 81.10(s) and two unrelated guidance documents), so the cancer-clause procedure in the key was not provided.</t>
        </is>
      </c>
      <c r="G5" s="3" t="n">
        <v>25.617</v>
      </c>
      <c r="H5" s="4" t="n">
        <v>1458</v>
      </c>
      <c r="I5" s="4" t="n">
        <v>135</v>
      </c>
      <c r="J5" s="2" t="inlineStr">
        <is>
          <t>Qwen/Qwen3-0.6B</t>
        </is>
      </c>
      <c r="K5" s="2" t="inlineStr">
        <is>
          <t>BAAI/bge-small-en-v1.5 (evaluator aligner; semantic retrieval not invoked)</t>
        </is>
      </c>
      <c r="L5" s="2" t="inlineStr">
        <is>
          <t>SUCCESS</t>
        </is>
      </c>
      <c r="M5" s="2" t="inlineStr"/>
      <c r="N5" s="2" t="inlineStr">
        <is>
          <t>Expected CFR section(s) 70.50: none in evidence; none cited in answer. Evidence (4): FDA Guidance: Study Data Technical Conformance Guide - Technical Specifications Document (final, 2026-06-01, D [full_text_or]; FDA Guidance: Pediatric Study Plans: Content of and Process for Submitting Initial Pediatric Study Plans and A [full_text_or]; 21 CFR 81.10(q)(1) [full_text_or]; 21 CFR 81.10(s) [full_text_or]. Query type GENERAL_REGULATORY_SEARCH; semantic fallback not invoked. Coverage evidence_complete=True.</t>
        </is>
      </c>
      <c r="O5" s="2" t="n">
        <v>4</v>
      </c>
      <c r="P5" s="2" t="inlineStr">
        <is>
          <t>70</t>
        </is>
      </c>
      <c r="Q5" s="2" t="inlineStr">
        <is>
          <t>Specific Requirement</t>
        </is>
      </c>
      <c r="R5" s="2" t="inlineStr">
        <is>
          <t>Advanced</t>
        </is>
      </c>
      <c r="S5" s="2" t="inlineStr">
        <is>
          <t>21 CFR 70.50(a)</t>
        </is>
      </c>
      <c r="T5" s="2" t="n">
        <v>0</v>
      </c>
      <c r="U5" s="2" t="n">
        <v>0</v>
      </c>
      <c r="V5" s="2" t="n">
        <v>0</v>
      </c>
      <c r="W5" s="2" t="n">
        <v>0</v>
      </c>
      <c r="X5" s="2" t="n">
        <v>1</v>
      </c>
      <c r="Y5" s="2" t="inlineStr">
        <is>
          <t>Withheld by validator (no answer shown)</t>
        </is>
      </c>
      <c r="Z5" s="2" t="inlineStr">
        <is>
          <t>initial unsupported [unsupported_figure, invented_condition] -&gt; final unsupported; repair applied; fallback unvalidated_answer_withheld</t>
        </is>
      </c>
      <c r="AA5" s="2" t="inlineStr"/>
      <c r="AB5" s="2" t="inlineStr">
        <is>
          <t>FAIL</t>
        </is>
      </c>
      <c r="AC5" s="2" t="n">
        <v>0</v>
      </c>
      <c r="AD5" s="2" t="inlineStr">
        <is>
          <t>Incorrect refusal: the generated answer failed validation and was suppressed, so the question went unanswered - the suppression was right, the outcome is still no answer</t>
        </is>
      </c>
      <c r="AE5" s="3" t="n">
        <v>25.607</v>
      </c>
      <c r="AF5" s="3" t="n">
        <v>1.901</v>
      </c>
      <c r="AG5" s="3" t="n">
        <v>23.688</v>
      </c>
      <c r="AH5" s="3" t="n">
        <v>0.001</v>
      </c>
      <c r="AI5" s="2" t="inlineStr"/>
    </row>
    <row r="6">
      <c r="A6" s="2" t="inlineStr">
        <is>
          <t>COS-70.50-Q2</t>
        </is>
      </c>
      <c r="B6" s="2" t="inlineStr">
        <is>
          <t>Our skin-only body paint colorant caused tumors in a skin-painting study. What does 70.50 say about external cosmetic use?</t>
        </is>
      </c>
      <c r="C6" s="2" t="inlineStr">
        <is>
          <t>70.50(b): where data suggest cancer by routes other than ingestion, the Commissioner decides whether the test suits the proposed external use, whether cancer was induced and whether the additive caused it. If not established, external drug and cosmetic uses are not precluded and may be listed if data establish safety. If cancer is induced by an appropriate test, no regulation may permit use in external drugs and cosmetics.</t>
        </is>
      </c>
      <c r="D6" s="2" t="inlineStr">
        <is>
          <t>[1] 70.50(a) states that color additives that may be ingested are subject to the cancer clause if the data establish that the additive has induced cancer when ingested, and if the data as a whole establish that the additive is safe under conditions specified in the applicable regulation [1]. 70.50(c) states that color additives for use as an ingredient of feed for animals raised for food production must satisfy the requirements of subpart E of part 500 of this chapter.
21 CFR 70.50 (eCFR, binding, verbatim): (a) Color additives that may be ingested. Whenever (1) the scientific data before the Commissioner (either the reports from the scientific literature or the results of biological testing) suggest the possibility that the color additive including its components or impurities has induced cancer when ingested by man or animal; or (2) tests which are appropriate for the evaluation of the safety of additives in food suggest that the color additive, including its components or impurities, induces cancer in man or animal, the Commissioner shall determine whether, based on the judgment of appropriately qualified scientists, cancer has been induced and whether the color additive, including its components or impurities, was the causative substance. If it is his judgment that the data do not establish these facts, the cancer clause is not applicable; and if the data considered as a whole establish that the color additive will be safe under the conditions that can be specified in the applicable regulation, it may be listed for such use. But if in the judgment of the Commissioner, based on information from qualified scientists, cancer has been induced, no regulation may issue which permits its use [1]. (b) Color additives that will not be ingested. Whenever the scientific data before the Commissioner suggest the possibility that the color additive, including its components or impurities, has induced cancer in man or animals by routes other than ingestion, the Commissioner shall determine whether, based on the judgment of appropriately qualified scientists, the test suggesting the possibility of carcinogenesis is appropriate for the evaluation of the color additive for a use which does not involve ingestion, cancer has been induced, and the color additive, including its components or impurities, was the causative substance. If it is his judgment that the data do not establish these facts, the cancer clause is not applicable to preclude external drug and cosmetic uses, and if the data as a whole establish that the color additive will be safe under conditions that can be specified in the regulations, it may be listed for such use. But if, in the judgment of the Commissioner, based on information from qualified scientists, the test is an appropriate one for the consideration of safety for the proposed external use, and cancer has been induced by the color additive, including its components or impurities, no regulation may issue which permits its use in external drugs and cosmetics [2]. (c) Color additives for use as an ingredient of feed for animals that are raised for food production. Color additives that are an ingredient of the feed for animals raised for food production and that have the potential to contaminate human food with residues whose consumption could present a risk of cancer to people must satisfy the requirements of subpart E of part 500 of this chapter [3].</t>
        </is>
      </c>
      <c r="E6" s="2" t="inlineStr">
        <is>
          <t>PARTIALLY FAIL</t>
        </is>
      </c>
      <c r="F6" s="2" t="inlineStr">
        <is>
          <t>Partly correct. The repair appended the verbatim text of 21 CFR 70.50(a)-(c), which contains the key's 70.50(b) rule for non-ingested uses with correct citations. But the model's own summary misstates 70.50(a) (it says ingested additives are subject to the cancer clause if the data establish safety) and never addresses external use, which is what was asked; the user must find the answer in the quoted text.</t>
        </is>
      </c>
      <c r="G6" s="3" t="n">
        <v>22.124</v>
      </c>
      <c r="H6" s="4" t="n">
        <v>1308</v>
      </c>
      <c r="I6" s="4" t="n">
        <v>172</v>
      </c>
      <c r="J6" s="2" t="inlineStr">
        <is>
          <t>Qwen/Qwen3-0.6B</t>
        </is>
      </c>
      <c r="K6" s="2" t="inlineStr">
        <is>
          <t>BAAI/bge-small-en-v1.5 (evaluator aligner; semantic retrieval not invoked)</t>
        </is>
      </c>
      <c r="L6" s="2" t="inlineStr">
        <is>
          <t>SUCCESS</t>
        </is>
      </c>
      <c r="M6" s="2" t="inlineStr"/>
      <c r="N6" s="2" t="inlineStr">
        <is>
          <t>Expected CFR section(s) 70.50: all in evidence; cited in answer: 70.50. Evidence (3): 21 CFR 70.50(a) [exact_cfr]; 21 CFR 70.50(b) [exact_cfr]; 21 CFR 70.50(c) [exact_cfr]. Query type EXACT_CFR; semantic fallback not invoked. Coverage evidence_complete=True.</t>
        </is>
      </c>
      <c r="O6" s="2" t="n">
        <v>5</v>
      </c>
      <c r="P6" s="2" t="inlineStr">
        <is>
          <t>70</t>
        </is>
      </c>
      <c r="Q6" s="2" t="inlineStr">
        <is>
          <t>Applicability</t>
        </is>
      </c>
      <c r="R6" s="2" t="inlineStr">
        <is>
          <t>Advanced</t>
        </is>
      </c>
      <c r="S6" s="2" t="inlineStr">
        <is>
          <t>21 CFR 70.50(b)</t>
        </is>
      </c>
      <c r="T6" s="2" t="n">
        <v>1</v>
      </c>
      <c r="U6" s="2" t="n">
        <v>0</v>
      </c>
      <c r="V6" s="2" t="n">
        <v>1</v>
      </c>
      <c r="W6" s="2" t="n">
        <v>2</v>
      </c>
      <c r="X6" s="2" t="n">
        <v>1</v>
      </c>
      <c r="Y6" s="2" t="inlineStr">
        <is>
          <t>Generated answer</t>
        </is>
      </c>
      <c r="Z6" s="2" t="inlineStr">
        <is>
          <t>initial evidence_mismatched [provision_citation_mismatch] -&gt; final valid; repair applied</t>
        </is>
      </c>
      <c r="AA6" s="2" t="inlineStr">
        <is>
          <t>[1] = 21 CFR 70.50(a); [2] = 21 CFR 70.50(b); [3] = 21 CFR 70.50(c)</t>
        </is>
      </c>
      <c r="AB6" s="2" t="inlineStr">
        <is>
          <t>FAIL</t>
        </is>
      </c>
      <c r="AC6" s="2" t="n">
        <v>30</v>
      </c>
      <c r="AD6" s="2" t="inlineStr">
        <is>
          <t>Partially correct: 9 statement(s) answer a different question; 2 statement(s) only partly address the question - e.g. the regulation it corresponds to (21 CFR 70.50(b)) is about external; the answer does not cover: the question's subject</t>
        </is>
      </c>
      <c r="AE6" s="3" t="n">
        <v>21.57</v>
      </c>
      <c r="AF6" s="3" t="n">
        <v>0.089</v>
      </c>
      <c r="AG6" s="3" t="n">
        <v>21.469</v>
      </c>
      <c r="AH6" s="3" t="n">
        <v>0.55</v>
      </c>
      <c r="AI6" s="2" t="inlineStr"/>
    </row>
    <row r="7">
      <c r="A7" s="2" t="inlineStr">
        <is>
          <t>COS-70.51-Q1</t>
        </is>
      </c>
      <c r="B7" s="2" t="inlineStr">
        <is>
          <t>We want an advisory committee to review whether the cancer provision of section 721 applies to our colorant. What rules govern that request?</t>
        </is>
      </c>
      <c r="C7" s="2" t="inlineStr">
        <is>
          <t>70.51: requests for and procedures governing any advisory committee on the anticancer provision are subject to part 14, particularly subpart H of part 14. 70.51 itself sets no composition, membership or time rules. Fees for referral are in 70.19(l)-(m): actual costs, member compensation not to exceed $75.00 per member per day, and a $2,500.00 special advance deposit.</t>
        </is>
      </c>
      <c r="D7" s="2" t="inlineStr">
        <is>
          <t>The requested provision requires that an advisory committee review of the cancer provision apply to the colorant. The overall requirement is that the request for review should be communicated to the sponsor following the procedures described in section V.A., Responses to an Appeal. If a request for advisory committee review is granted, the matter should be brought to the next scheduled advisory committee meeting for discussion. The requirement also states that the sponsor should determine whether such review is appropriate and would be helpful to CDER or CBER at that time in the FDR process. If the CBER denies the request, the reasons for the denial must be briefly set forth in writing to the applicant, if the product is a drug, as required by §10.75 (b)(2). The FDA Ombudsman should not make an independent determination of whether an advisory committee review should be granted, but should communicate the determination to the sponsor following the procedures described in section V.A., Responses to an Appeal. The requirement also states that the Center should send a written response to the applicant's request for advisory committee review within 30 calendar days of receiving the request. If the CVM Director denies the request, the reasons for the denial must be briefly set forth in writing to the applicant, if the product is a drug, as required by §10.75 (b)(2). If the CVM Director denies the request, the reasons for the denial must be briefly set forth in writing to the applicant, if the product is a drug, as required by
(Incomplete: generation stopped at the token limit before this answer finished, so wording after this point is missing.)</t>
        </is>
      </c>
      <c r="E7" s="2" t="inlineStr">
        <is>
          <t>FAIL</t>
        </is>
      </c>
      <c r="F7" s="2" t="inlineStr">
        <is>
          <t>Wrong. Describes an FDA drug formal-dispute-resolution guidance (CDER/CBER/CVM, Ombudsman, 30-day response, 10.75(b)(2)) instead of 21 CFR 70.51, which subjects anticancer-clause advisory committee requests to part 14, subpart H; the 70.19(l)-(m) referral fees are absent. The answer is also cut off at the token limit and repeats itself. 70.51 was not in the retrieved evidence.</t>
        </is>
      </c>
      <c r="G7" s="3" t="n">
        <v>43.234</v>
      </c>
      <c r="H7" s="4" t="n">
        <v>1338</v>
      </c>
      <c r="I7" s="4" t="n">
        <v>384</v>
      </c>
      <c r="J7" s="2" t="inlineStr">
        <is>
          <t>Qwen/Qwen3-0.6B</t>
        </is>
      </c>
      <c r="K7" s="2" t="inlineStr">
        <is>
          <t>BAAI/bge-small-en-v1.5 (evaluator aligner; semantic retrieval not invoked)</t>
        </is>
      </c>
      <c r="L7" s="2" t="inlineStr">
        <is>
          <t>SUCCESS</t>
        </is>
      </c>
      <c r="M7" s="2" t="inlineStr"/>
      <c r="N7" s="2" t="inlineStr">
        <is>
          <t>Expected CFR section(s) 70.51: none in evidence; none cited in answer. Evidence (4): FDA Guidance: Formal Dispute Resolution: Sponsor Appeals Above the Division Level Guidance for Industry and Re [full_text_or]; FDA Guidance: CVM GFI #79 Dispute Resolution Procedures for Science-Based Decisions on Products Regulated by C [full_text_or]; 21 CFR 14.100(c)(9)(ii) [full_text_or]; 21 CFR 14.100(d)(2)(ii) [full_text_or]. Query type GENERAL_REGULATORY_SEARCH; semantic fallback not invoked. Coverage evidence_complete=True.</t>
        </is>
      </c>
      <c r="O7" s="2" t="n">
        <v>6</v>
      </c>
      <c r="P7" s="2" t="inlineStr">
        <is>
          <t>70</t>
        </is>
      </c>
      <c r="Q7" s="2" t="inlineStr">
        <is>
          <t>How to Comply</t>
        </is>
      </c>
      <c r="R7" s="2" t="inlineStr">
        <is>
          <t>Basic</t>
        </is>
      </c>
      <c r="S7" s="2" t="inlineStr">
        <is>
          <t>21 CFR 70.51</t>
        </is>
      </c>
      <c r="T7" s="2" t="n">
        <v>0</v>
      </c>
      <c r="U7" s="2" t="n">
        <v>0</v>
      </c>
      <c r="V7" s="2" t="n">
        <v>0</v>
      </c>
      <c r="W7" s="2" t="n">
        <v>0</v>
      </c>
      <c r="X7" s="2" t="n">
        <v>1</v>
      </c>
      <c r="Y7" s="2" t="inlineStr">
        <is>
          <t>Generated answer</t>
        </is>
      </c>
      <c r="Z7" s="2" t="inlineStr">
        <is>
          <t>initial incomplete [truncated, repeated_statement] -&gt; final incomplete; repair applied; generation hit token allowance</t>
        </is>
      </c>
      <c r="AA7" s="2" t="inlineStr"/>
      <c r="AB7" s="2" t="inlineStr">
        <is>
          <t>FAIL</t>
        </is>
      </c>
      <c r="AC7" s="2" t="n">
        <v>0</v>
      </c>
      <c r="AD7" s="2" t="inlineStr">
        <is>
          <t>Partially correct: 4 statement(s) could not be verified; 1 statement(s) only partly address the question - e.g. no corresponding evidence; the statement itself is about request</t>
        </is>
      </c>
      <c r="AE7" s="3" t="n">
        <v>43.058</v>
      </c>
      <c r="AF7" s="3" t="n">
        <v>4.728</v>
      </c>
      <c r="AG7" s="3" t="n">
        <v>38.316</v>
      </c>
      <c r="AH7" s="3" t="n">
        <v>0.171</v>
      </c>
      <c r="AI7" s="2" t="inlineStr"/>
    </row>
    <row r="8">
      <c r="A8" s="2" t="inlineStr">
        <is>
          <t>COS-70.55-Q1</t>
        </is>
      </c>
      <c r="B8" s="2" t="inlineStr">
        <is>
          <t>We're a small cosmetics firm without a lab. Can FDA run studies to support our color additive petition?</t>
        </is>
      </c>
      <c r="C8" s="2" t="inlineStr">
        <is>
          <t>70.55: the Commissioner will consider requests by any interested person for FDA to conduct studies supporting a color additive petition. If favorably acted upon, studies are limited to pharmacological investigations, chemical and physical structure studies, and methods of analysis of the pure color additive (including impurities) and its identification and determination in foods, drugs or cosmetics. Requests must include the 70.19 fee: a $5,000.00 advance deposit under 70.19(n).</t>
        </is>
      </c>
      <c r="D8" s="2"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Assessing the Effects of Significant Manufacturing Process Changes, Including Emerging Technologies, on the Safety and Regulatory Status of Food Ingredients and Food Contact Substances, Including Food Ingredients that Are Color Additives (final, 2014-06-27, Docket FDA-2011-D-0490), FDA Guidance: Replacing Color Additives in Approved or Marketed Drug Products: Draft Guidance for Industry (draft, 2025-05-29, Docket FDA-2025-D-0507), 21 CFR 71.6(c)(1).</t>
        </is>
      </c>
      <c r="E8" s="2" t="inlineStr">
        <is>
          <t>FAIL</t>
        </is>
      </c>
      <c r="F8" s="2" t="inlineStr">
        <is>
          <t>No answer delivered: the draft was withheld (unsupported claim). Neither 70.55 nor 70.19(n) was in the retrieved evidence (two color-additive guidance documents and 71.6(c)(1)), so the key's answer - FDA will consider requests, limited study types, $5,000 advance deposit - was not provided.</t>
        </is>
      </c>
      <c r="G8" s="3" t="n">
        <v>27.003</v>
      </c>
      <c r="H8" s="4" t="n">
        <v>1340</v>
      </c>
      <c r="I8" s="4" t="n">
        <v>231</v>
      </c>
      <c r="J8" s="2" t="inlineStr">
        <is>
          <t>Qwen/Qwen3-0.6B</t>
        </is>
      </c>
      <c r="K8" s="2" t="inlineStr">
        <is>
          <t>BAAI/bge-small-en-v1.5 (evaluator aligner; semantic retrieval not invoked)</t>
        </is>
      </c>
      <c r="L8" s="2" t="inlineStr">
        <is>
          <t>SUCCESS</t>
        </is>
      </c>
      <c r="M8" s="2" t="inlineStr"/>
      <c r="N8" s="2" t="inlineStr">
        <is>
          <t>Expected CFR section(s) 70.19, 70.55: none in evidence; none cited in answer. Evidence (3): FDA Guidance: Guidance for Industry: Assessing the Effects of Significant Manufacturing Process Changes, Inclu [full_text_or]; FDA Guidance: Replacing Color Additives in Approved or Marketed Drug Products: Draft Guidance for Industry (dr [full_text_or]; 21 CFR 71.6(c)(1) [full_text_or]. Query type GENERAL_REGULATORY_SEARCH; semantic fallback not invoked. Coverage evidence_complete=True.</t>
        </is>
      </c>
      <c r="O8" s="2" t="n">
        <v>7</v>
      </c>
      <c r="P8" s="2" t="inlineStr">
        <is>
          <t>70</t>
        </is>
      </c>
      <c r="Q8" s="2" t="inlineStr">
        <is>
          <t>How to Comply</t>
        </is>
      </c>
      <c r="R8" s="2" t="inlineStr">
        <is>
          <t>Intermediate</t>
        </is>
      </c>
      <c r="S8" s="2" t="inlineStr">
        <is>
          <t>21 CFR 70.55; 70.19(n)</t>
        </is>
      </c>
      <c r="T8" s="2" t="n">
        <v>0</v>
      </c>
      <c r="U8" s="2" t="n">
        <v>0</v>
      </c>
      <c r="V8" s="2" t="n">
        <v>0</v>
      </c>
      <c r="W8" s="2" t="n">
        <v>0</v>
      </c>
      <c r="X8" s="2" t="n">
        <v>1</v>
      </c>
      <c r="Y8" s="2" t="inlineStr">
        <is>
          <t>Withheld by validator (no answer shown)</t>
        </is>
      </c>
      <c r="Z8" s="2" t="inlineStr">
        <is>
          <t>initial unsupported [unsupported_claim] -&gt; final valid; repair applied; fallback unvalidated_answer_withheld</t>
        </is>
      </c>
      <c r="AA8" s="2" t="inlineStr"/>
      <c r="AB8" s="2" t="inlineStr">
        <is>
          <t>FAIL</t>
        </is>
      </c>
      <c r="AC8" s="2" t="n">
        <v>0</v>
      </c>
      <c r="AD8" s="2" t="inlineStr">
        <is>
          <t>Incorrect refusal: the generated answer failed validation and was suppressed, so the question went unanswered - the suppression was right, the outcome is still no answer</t>
        </is>
      </c>
      <c r="AE8" s="3" t="n">
        <v>26.998</v>
      </c>
      <c r="AF8" s="3" t="n">
        <v>3.087</v>
      </c>
      <c r="AG8" s="3" t="n">
        <v>23.9</v>
      </c>
      <c r="AH8" s="3" t="n">
        <v>0.002</v>
      </c>
      <c r="AI8" s="2" t="inlineStr"/>
    </row>
    <row r="9">
      <c r="A9" s="2" t="inlineStr">
        <is>
          <t>COS-71.1-Q2</t>
        </is>
      </c>
      <c r="B9" s="2" t="inlineStr">
        <is>
          <t>We have toxicology data for a new eyeshadow pigment but haven't prepared analytical methods or exposure estimates. What technical content must a color additive petition contain?</t>
        </is>
      </c>
      <c r="C9" s="2" t="inlineStr">
        <is>
          <t>71.1(c) requires attachments A–J: A identity, composition, manufacturing, controls, stability; B proposed amount, intended color effect, directions and labeling specimens; C analytical methods; D full safety investigation reports; E probable consumption/exposure and cumulative effects; F proposed tolerances or limitations; G reasons and data if certification exemption is sought; H details of changes to an existing regulation; I listing fee; J categorical exclusion claim (25.30/25.32) or environmental assessment (25.40).</t>
        </is>
      </c>
      <c r="D9" s="2" t="inlineStr">
        <is>
          <t>The color additive petition must include the systematic name, genus and species, variability based on climate or geographical factors, and sufficient information to identify food additives of natural origin. Additionally, the petition must provide adequate information on estimating human dietary exposures, as outlined in FDA guidance. The information must be sufficient to ensure clarity about the identity and composition of the food additive in the food additive regulation. The petition must also include any other relevant information not covered in FDA guidance documents. The available regulatory sources do not provide enough information to answer this [1] [2].</t>
        </is>
      </c>
      <c r="E9" s="2" t="inlineStr">
        <is>
          <t>FAIL</t>
        </is>
      </c>
      <c r="F9" s="2" t="inlineStr">
        <is>
          <t>Wrong. Lists animal food-additive petition recommendations from FDA guidance (systematic name, genus and species, dietary exposure) as 'must' requirements and ends by saying the sources are insufficient. It does not give the 71.1(c) attachments A-J, and cites guidance documents rather than the regulation. 71.1 was not in the retrieved evidence.</t>
        </is>
      </c>
      <c r="G9" s="3" t="n">
        <v>19.348</v>
      </c>
      <c r="H9" s="4" t="n">
        <v>1308</v>
      </c>
      <c r="I9" s="4" t="n">
        <v>142</v>
      </c>
      <c r="J9" s="2" t="inlineStr">
        <is>
          <t>Qwen/Qwen3-0.6B</t>
        </is>
      </c>
      <c r="K9" s="2" t="inlineStr">
        <is>
          <t>BAAI/bge-small-en-v1.5 (evaluator aligner; semantic retrieval not invoked)</t>
        </is>
      </c>
      <c r="L9" s="2" t="inlineStr">
        <is>
          <t>SUCCESS</t>
        </is>
      </c>
      <c r="M9" s="2" t="inlineStr"/>
      <c r="N9" s="2" t="inlineStr">
        <is>
          <t>Expected CFR section(s) 71.1: none in evidence; none cited in answer. Evidence (3): FDA Guidance: CVM GFI #221 Recommendations for Preparation and Submission of Animal Food Additive Petitions (f [full_text_or]; FDA Guidance: Guidance for Industry: Preparation of Food Contact Substance Notifications (Toxicology Recommend [full_text_or]; 21 CFR 170.39(h) [full_text_or]. Query type GENERAL_REGULATORY_SEARCH; semantic fallback not invoked. Coverage evidence_complete=True.</t>
        </is>
      </c>
      <c r="O9" s="2" t="n">
        <v>8</v>
      </c>
      <c r="P9" s="2" t="inlineStr">
        <is>
          <t>71</t>
        </is>
      </c>
      <c r="Q9" s="2" t="inlineStr">
        <is>
          <t>Specific Requirement</t>
        </is>
      </c>
      <c r="R9" s="2" t="inlineStr">
        <is>
          <t>Intermediate</t>
        </is>
      </c>
      <c r="S9" s="2" t="inlineStr">
        <is>
          <t>21 CFR 71.1(c)</t>
        </is>
      </c>
      <c r="T9" s="2" t="n">
        <v>0</v>
      </c>
      <c r="U9" s="2" t="n">
        <v>0</v>
      </c>
      <c r="V9" s="2" t="n">
        <v>0</v>
      </c>
      <c r="W9" s="2" t="n">
        <v>0</v>
      </c>
      <c r="X9" s="2" t="n">
        <v>1</v>
      </c>
      <c r="Y9" s="2" t="inlineStr">
        <is>
          <t>Generated answer</t>
        </is>
      </c>
      <c r="Z9" s="2" t="inlineStr">
        <is>
          <t>initial evidence_mismatched [invented_condition] -&gt; final valid; repair applied</t>
        </is>
      </c>
      <c r="AA9" s="2" t="inlineStr">
        <is>
          <t>[1] = FDA Guidance: CVM GFI #221 Recommendations for Preparation and Submission of Animal Food Additive Petitions (final, 2015-06-12, Docket FDA-2013-D-0928); [2] = FDA Guidance: Guidance for Industry: Preparation of Food Contact Substance Notifications (Toxicology Recommendations) (final, 2021-10-20, Docket FDA-1999-D-0062)</t>
        </is>
      </c>
      <c r="AB9" s="2" t="inlineStr">
        <is>
          <t>FAIL</t>
        </is>
      </c>
      <c r="AC9" s="2" t="n">
        <v>15</v>
      </c>
      <c r="AD9" s="2" t="inlineStr">
        <is>
          <t>Partially correct: 3 statement(s) could not be verified; 4 statement(s) only partly address the question - e.g. the regulation it corresponds to (FDA Guidance: CVM GFI #221 Recommendations for Preparation and Submission of Animal Food Additive Petitions (final, 2015-06-12, Docket FDA-2013-D-0928)) is about additiv; the answer does not cover: the question's subject</t>
        </is>
      </c>
      <c r="AE9" s="3" t="n">
        <v>18.977</v>
      </c>
      <c r="AF9" s="3" t="n">
        <v>4.118</v>
      </c>
      <c r="AG9" s="3" t="n">
        <v>14.849</v>
      </c>
      <c r="AH9" s="3" t="n">
        <v>0.364</v>
      </c>
      <c r="AI9" s="2" t="inlineStr"/>
    </row>
    <row r="10">
      <c r="A10" s="2" t="inlineStr">
        <is>
          <t>COS-71.6-Q1</t>
        </is>
      </c>
      <c r="B10" s="2" t="inlineStr">
        <is>
          <t>Our color additive petition was filed 80 days ago and FDA hasn't decided. Can FDA take longer than 90 days, and how much longer?</t>
        </is>
      </c>
      <c r="C10" s="2" t="inlineStr">
        <is>
          <t>Yes. Under 71.6(a), if FDA determines more time is needed to study and investigate the petition, it notifies the petitioner in writing and extends the 90-day period, but for not more than 180 days after filing of the petition.</t>
        </is>
      </c>
      <c r="D10" s="2" t="inlineStr">
        <is>
          <t>The available regulatory sources do not provide enough information to answer this question. The requested provision is not found in the available eCFR data.</t>
        </is>
      </c>
      <c r="E10" s="2" t="inlineStr">
        <is>
          <t>FAIL</t>
        </is>
      </c>
      <c r="F10" s="2" t="inlineStr">
        <is>
          <t>Declined: says the requested provision is not found in the available eCFR data. 21 CFR 71.6 is part of Part 71, which is in the Regulus database, but it was not in the retrieved evidence. The key's answer (yes, written notice, extension to no more than 180 days after filing) was not provided.</t>
        </is>
      </c>
      <c r="G10" s="3" t="n">
        <v>7.015</v>
      </c>
      <c r="H10" s="4" t="n">
        <v>1381</v>
      </c>
      <c r="I10" s="4" t="n">
        <v>29</v>
      </c>
      <c r="J10" s="2" t="inlineStr">
        <is>
          <t>Qwen/Qwen3-0.6B</t>
        </is>
      </c>
      <c r="K10" s="2" t="inlineStr">
        <is>
          <t>BAAI/bge-small-en-v1.5 (evaluator aligner; semantic retrieval not invoked)</t>
        </is>
      </c>
      <c r="L10" s="2" t="inlineStr">
        <is>
          <t>SUCCESS</t>
        </is>
      </c>
      <c r="M10" s="2" t="inlineStr"/>
      <c r="N10" s="2" t="inlineStr">
        <is>
          <t>Expected CFR section(s) 71.6: none in evidence; none cited in answer. Evidence (3): FDA Guidance: Guidance for Industry: Assessing the Effects of Significant Manufacturing Process Changes, Inclu [full_text_or]; FDA Guidance: Replacing Color Additives in Approved or Marketed Drug Products: Draft Guidance for Industry (dr [full_text_or]; 21 CFR 814.9(a) [full_text_or]. Query type GENERAL_REGULATORY_SEARCH; semantic fallback not invoked. Coverage evidence_complete=True.</t>
        </is>
      </c>
      <c r="O10" s="2" t="n">
        <v>9</v>
      </c>
      <c r="P10" s="2" t="inlineStr">
        <is>
          <t>71</t>
        </is>
      </c>
      <c r="Q10" s="2" t="inlineStr">
        <is>
          <t>Specific Requirement</t>
        </is>
      </c>
      <c r="R10" s="2" t="inlineStr">
        <is>
          <t>Intermediate</t>
        </is>
      </c>
      <c r="S10" s="2" t="inlineStr">
        <is>
          <t>21 CFR 71.6(a)</t>
        </is>
      </c>
      <c r="T10" s="2" t="n">
        <v>0</v>
      </c>
      <c r="U10" s="2" t="n">
        <v>0</v>
      </c>
      <c r="V10" s="2" t="n">
        <v>0</v>
      </c>
      <c r="W10" s="2" t="n">
        <v>0</v>
      </c>
      <c r="X10" s="2" t="n">
        <v>1</v>
      </c>
      <c r="Y10" s="2" t="inlineStr">
        <is>
          <t>Generated answer</t>
        </is>
      </c>
      <c r="Z10" s="2" t="inlineStr">
        <is>
          <t>initial valid -&gt; final valid</t>
        </is>
      </c>
      <c r="AA10" s="2" t="inlineStr"/>
      <c r="AB10" s="2" t="inlineStr">
        <is>
          <t>NOT EVALUATED</t>
        </is>
      </c>
      <c r="AC10" s="2" t="n"/>
      <c r="AD10" s="2" t="inlineStr">
        <is>
          <t>Cannot be verified: the answer declines, and neither the pipeline state nor the retrieved evidence establishes whether the question could have been answered</t>
        </is>
      </c>
      <c r="AE10" s="3" t="n">
        <v>7.01</v>
      </c>
      <c r="AF10" s="3" t="n">
        <v>1.855</v>
      </c>
      <c r="AG10" s="3" t="n">
        <v>5.148</v>
      </c>
      <c r="AH10" s="3" t="n">
        <v>0.002</v>
      </c>
      <c r="AI10" s="2" t="inlineStr"/>
    </row>
    <row r="11">
      <c r="A11" s="2" t="inlineStr">
        <is>
          <t>COS-71.15-Q2</t>
        </is>
      </c>
      <c r="B11" s="2" t="inlineStr">
        <is>
          <t>Which parts of our color additive petition stay non-public: our manufacturing process, sales figures, and formula?</t>
        </is>
      </c>
      <c r="C11" s="2" t="inlineStr">
        <is>
          <t>Under 71.15(b) these are not available unless previously disclosed to the public under § 20.81 or they relate to an abandoned product or ingredient and no longer qualify as trade secret or confidential information: (1) manufacturing methods or processes, including quality control procedures; (2) production, sales, distribution and similar data, except aggregated compilations that reveal no nonpublic information; (3) quantitative or semiquantitative formulas.</t>
        </is>
      </c>
      <c r="D11" s="2" t="inlineStr">
        <is>
          <t>The requested provisions require that the manufacturing process, sales figures, and formula of the color additive petition remain non-public. The evidence supports this by stating that the petition process for color additives includes information similar to that submitted in food additive petitions, and that the data and information submitted establish safety and suitability. The sources cited are [1].</t>
        </is>
      </c>
      <c r="E11" s="2" t="inlineStr">
        <is>
          <t>PARTIALLY FAIL</t>
        </is>
      </c>
      <c r="F11" s="2" t="inlineStr">
        <is>
          <t>Conclusion directionally right (the three categories stay non-public) but unsupported and oversimplified: it cites an unrelated manufacturing-change guidance instead of 71.15, omits the conditions (unless previously disclosed under 20.81, or relating to an abandoned product, and the aggregated-compilation exception for sales data). 71.15 was not in the retrieved evidence.</t>
        </is>
      </c>
      <c r="G11" s="3" t="n">
        <v>15.556</v>
      </c>
      <c r="H11" s="4" t="n">
        <v>1333</v>
      </c>
      <c r="I11" s="4" t="n">
        <v>97</v>
      </c>
      <c r="J11" s="2" t="inlineStr">
        <is>
          <t>Qwen/Qwen3-0.6B</t>
        </is>
      </c>
      <c r="K11" s="2" t="inlineStr">
        <is>
          <t>BAAI/bge-small-en-v1.5 (evaluator aligner; semantic retrieval not invoked)</t>
        </is>
      </c>
      <c r="L11" s="2" t="inlineStr">
        <is>
          <t>SUCCESS</t>
        </is>
      </c>
      <c r="M11" s="2" t="inlineStr"/>
      <c r="N11" s="2" t="inlineStr">
        <is>
          <t>Expected CFR section(s) 71.15: none in evidence; none cited in answer. Evidence (3): FDA Guidance: Guidance for Industry: Assessing the Effects of Significant Manufacturing Process Changes, Inclu [full_text_or]; FDA Guidance: Replacing Color Additives in Approved or Marketed Drug Products: Draft Guidance for Industry (dr [full_text_or]; 21 CFR 101.9(g)(10)(v)(C) [full_text_or]. Query type GENERAL_REGULATORY_SEARCH; semantic fallback not invoked. Coverage evidence_complete=True.</t>
        </is>
      </c>
      <c r="O11" s="2" t="n">
        <v>10</v>
      </c>
      <c r="P11" s="2" t="inlineStr">
        <is>
          <t>71</t>
        </is>
      </c>
      <c r="Q11" s="2" t="inlineStr">
        <is>
          <t>Exemption</t>
        </is>
      </c>
      <c r="R11" s="2" t="inlineStr">
        <is>
          <t>Intermediate</t>
        </is>
      </c>
      <c r="S11" s="2" t="inlineStr">
        <is>
          <t>21 CFR 71.15(b)(1)-(3), (c)</t>
        </is>
      </c>
      <c r="T11" s="2" t="n">
        <v>0</v>
      </c>
      <c r="U11" s="2" t="n">
        <v>0</v>
      </c>
      <c r="V11" s="2" t="n">
        <v>1</v>
      </c>
      <c r="W11" s="2" t="n">
        <v>0</v>
      </c>
      <c r="X11" s="2" t="n">
        <v>1</v>
      </c>
      <c r="Y11" s="2" t="inlineStr">
        <is>
          <t>Generated answer</t>
        </is>
      </c>
      <c r="Z11" s="2" t="inlineStr">
        <is>
          <t>initial citation_invalid [invalid_citation, invented_condition] -&gt; final valid; repair applied</t>
        </is>
      </c>
      <c r="AA11" s="2" t="inlineStr">
        <is>
          <t>[1] = FDA Guidance: Guidance for Industry: Assessing the Effects of Significant Manufacturing Process Changes, Including Emerging Technologies, on the Safety and Regulatory Status of Food Ingredients and Food Contact Substances, Including Food Ingredients that Are Color Additives (final, 2014-06-27, Docket FDA-2011-D-0490)</t>
        </is>
      </c>
      <c r="AB11" s="2" t="inlineStr">
        <is>
          <t>FAIL</t>
        </is>
      </c>
      <c r="AC11" s="2" t="n">
        <v>35</v>
      </c>
      <c r="AD11" s="2" t="inlineStr">
        <is>
          <t>Partially correct: 2 statement(s) could not be verified; 3 statement(s) only partly address the question - e.g. the regulation it corresponds to (FDA Guidance: Guidance for Industry: Assessing the Effects of Significant Manufacturing Process Changes, Including Emerging Technologies, on the Safety and Regulatory Status of Food Ingredients and Food Contact Substances, Including Food Ingredients tha…</t>
        </is>
      </c>
      <c r="AE11" s="3" t="n">
        <v>15.223</v>
      </c>
      <c r="AF11" s="3" t="n">
        <v>5.37</v>
      </c>
      <c r="AG11" s="3" t="n">
        <v>9.842000000000001</v>
      </c>
      <c r="AH11" s="3" t="n">
        <v>0.329</v>
      </c>
      <c r="AI11" s="2" t="inlineStr"/>
    </row>
    <row r="12">
      <c r="A12" s="2" t="inlineStr">
        <is>
          <t>COS-71.25-Q1</t>
        </is>
      </c>
      <c r="B12" s="2" t="inlineStr">
        <is>
          <t>FDA reviewed our petition and won't exempt our new pigment from certification. What does that mean for the listing and for using batches that aren't certified?</t>
        </is>
      </c>
      <c r="C12" s="2" t="inlineStr">
        <is>
          <t>Under 71.25(a), if FDA cannot conclude that certification is unnecessary for public health, it issues an order listing the color additive in part 74, stating in detail the specifications it must meet. Under 71.25(b), the order specifies a period after which use of a certifiable color additive not from a batch certified in accordance with the regulations results in adulteration of the product.</t>
        </is>
      </c>
      <c r="D12" s="2" t="inlineStr">
        <is>
          <t>The generated answer could not be validated against the retrieved regulatory evidence, so it is not shown. The retrieved sources were not verified to answer the question as asked, so their text is not quoted as an answer. Sources consulted: FDA Guidance: Citizen Petitions and Petitions for Stay of Action Subject to Section 505(q) of the Federal Food, Drug, and Cosmetic Act: Guidance for Industry (final, 2019-09-19, Docket FDA-2009-D-0008), 21 CFR 80.35(b).</t>
        </is>
      </c>
      <c r="E12" s="2" t="inlineStr">
        <is>
          <t>FAIL</t>
        </is>
      </c>
      <c r="F12" s="2" t="inlineStr">
        <is>
          <t>No answer delivered: the draft echoed the prompt and was withheld. 71.25 was not in the retrieved evidence (a 505(q) citizen-petition guidance and 80.35(b)), so the key's answer (listing order in part 74 with specifications; period after which uncertified batches adulterate) was not provided.</t>
        </is>
      </c>
      <c r="G12" s="3" t="n">
        <v>23.806</v>
      </c>
      <c r="H12" s="4" t="n">
        <v>1363</v>
      </c>
      <c r="I12" s="4" t="n">
        <v>175</v>
      </c>
      <c r="J12" s="2" t="inlineStr">
        <is>
          <t>Qwen/Qwen3-0.6B</t>
        </is>
      </c>
      <c r="K12" s="2" t="inlineStr">
        <is>
          <t>BAAI/bge-small-en-v1.5 (evaluator aligner; semantic retrieval not invoked)</t>
        </is>
      </c>
      <c r="L12" s="2" t="inlineStr">
        <is>
          <t>SUCCESS</t>
        </is>
      </c>
      <c r="M12" s="2" t="inlineStr"/>
      <c r="N12" s="2" t="inlineStr">
        <is>
          <t>Expected CFR section(s) 71.25: none in evidence; none cited in answer. Evidence (3): FDA Guidance: Citizen Petitions and Petitions for Stay of Action Subject to Section 505(q) of the Federal Food [full_text_or]; FDA Guidance: Citizen Petitions and Petitions for Stay of Action Subject to Section 505(q) of the Federal Food [full_text_or]; 21 CFR 80.35(b) [full_text_or]. Query type GENERAL_REGULATORY_SEARCH; semantic fallback not invoked. Coverage evidence_complete=True.</t>
        </is>
      </c>
      <c r="O12" s="2" t="n">
        <v>11</v>
      </c>
      <c r="P12" s="2" t="inlineStr">
        <is>
          <t>71</t>
        </is>
      </c>
      <c r="Q12" s="2" t="inlineStr">
        <is>
          <t>Specific Requirement</t>
        </is>
      </c>
      <c r="R12" s="2" t="inlineStr">
        <is>
          <t>Intermediate</t>
        </is>
      </c>
      <c r="S12" s="2" t="inlineStr">
        <is>
          <t>21 CFR 71.25(a), (b)</t>
        </is>
      </c>
      <c r="T12" s="2" t="n">
        <v>0</v>
      </c>
      <c r="U12" s="2" t="n">
        <v>0</v>
      </c>
      <c r="V12" s="2" t="n">
        <v>0</v>
      </c>
      <c r="W12" s="2" t="n">
        <v>0</v>
      </c>
      <c r="X12" s="2" t="n">
        <v>1</v>
      </c>
      <c r="Y12" s="2" t="inlineStr">
        <is>
          <t>Withheld by validator (no answer shown)</t>
        </is>
      </c>
      <c r="Z12" s="2" t="inlineStr">
        <is>
          <t>initial degenerate [prompt_echo] -&gt; final unsupported; repair applied; fallback unvalidated_answer_withheld</t>
        </is>
      </c>
      <c r="AA12" s="2" t="inlineStr"/>
      <c r="AB12" s="2" t="inlineStr">
        <is>
          <t>FAIL</t>
        </is>
      </c>
      <c r="AC12" s="2" t="n">
        <v>0</v>
      </c>
      <c r="AD12" s="2" t="inlineStr">
        <is>
          <t>Incorrect refusal: the generated answer failed validation and was suppressed, so the question went unanswered - the suppression was right, the outcome is still no answer</t>
        </is>
      </c>
      <c r="AE12" s="3" t="n">
        <v>23.8</v>
      </c>
      <c r="AF12" s="3" t="n">
        <v>3.109</v>
      </c>
      <c r="AG12" s="3" t="n">
        <v>20.681</v>
      </c>
      <c r="AH12" s="3" t="n">
        <v>0.001</v>
      </c>
      <c r="AI12" s="2" t="inlineStr"/>
    </row>
    <row r="13">
      <c r="A13" s="2" t="inlineStr">
        <is>
          <t>COS-71.26-Q1</t>
        </is>
      </c>
      <c r="B13" s="2" t="inlineStr">
        <is>
          <t>Our eyeliner uses a color additive that is exempt from certification. Can FDA take that exemption away, and how would we find out?</t>
        </is>
      </c>
      <c r="C13" s="2" t="inlineStr">
        <is>
          <t>Yes. Under 71.26, if information becomes available to FDA that a color additive granted exemption from certification should not, for the protection of the public health, be so exempted, the exemption is canceled by a notice published in the Federal Register.</t>
        </is>
      </c>
      <c r="D13" s="2" t="inlineStr">
        <is>
          <t>The FDA requires that color additive mixtures be certified if intended for use in foods, drugs, or cosmetics, or in coloring the human body, subject to restrictions in parts 70 and 71 of this chapter. Additionally, the FDA must check the Inactive Ingredient Database (IID) to ensure that color additives used in FDA-approved products are listed in the regulations and within their restrictions. If the color additive is not listed in the regulations, it must be acceptable if the additive is listed in the regulations and used within the restrictions. If the color additive is not listed in the regulations, the FDA must ensure that the product remains distinguishable to prevent medication errors.</t>
        </is>
      </c>
      <c r="E13" s="2" t="inlineStr">
        <is>
          <t>FAIL</t>
        </is>
      </c>
      <c r="F13" s="2" t="inlineStr">
        <is>
          <t>Wrong. Talks about certification of color additive mixtures and an Inactive Ingredient Database check (drug guidance presented as an FDA obligation) and never answers whether an exemption can be cancelled. Key: yes - under 71.26 the exemption is cancelled by a notice published in the Federal Register. 71.26 was not in the retrieved evidence; no citation given.</t>
        </is>
      </c>
      <c r="G13" s="3" t="n">
        <v>27.372</v>
      </c>
      <c r="H13" s="4" t="n">
        <v>1393</v>
      </c>
      <c r="I13" s="4" t="n">
        <v>213</v>
      </c>
      <c r="J13" s="2" t="inlineStr">
        <is>
          <t>Qwen/Qwen3-0.6B</t>
        </is>
      </c>
      <c r="K13" s="2" t="inlineStr">
        <is>
          <t>BAAI/bge-small-en-v1.5 (evaluator aligner; semantic retrieval not invoked)</t>
        </is>
      </c>
      <c r="L13" s="2" t="inlineStr">
        <is>
          <t>SUCCESS</t>
        </is>
      </c>
      <c r="M13" s="2" t="inlineStr"/>
      <c r="N13" s="2" t="inlineStr">
        <is>
          <t>Expected CFR section(s) 71.26: none in evidence; none cited in answer. Evidence (4): 21 CFR 80.35(a) [trigram]; FDA Guidance: Replacing Color Additives in Approved or Marketed Drug Products: Draft Guidance for Industry (dr [full_text_or]; FDA Guidance: CVM GFI #223 Small Entity Compliance Guide Declaring Color Additives in Animal Foods (final, 201 [full_text_or]; 21 CFR 81.30(b)(2) [full_text_or]. Query type GENERAL_REGULATORY_SEARCH; semantic fallback not invoked. Coverage evidence_complete=True.</t>
        </is>
      </c>
      <c r="O13" s="2" t="n">
        <v>12</v>
      </c>
      <c r="P13" s="2" t="inlineStr">
        <is>
          <t>71</t>
        </is>
      </c>
      <c r="Q13" s="2" t="inlineStr">
        <is>
          <t>Exemption</t>
        </is>
      </c>
      <c r="R13" s="2" t="inlineStr">
        <is>
          <t>Basic</t>
        </is>
      </c>
      <c r="S13" s="2" t="inlineStr">
        <is>
          <t>21 CFR 71.26</t>
        </is>
      </c>
      <c r="T13" s="2" t="n">
        <v>0</v>
      </c>
      <c r="U13" s="2" t="n">
        <v>0</v>
      </c>
      <c r="V13" s="2" t="n">
        <v>0</v>
      </c>
      <c r="W13" s="2" t="n">
        <v>0</v>
      </c>
      <c r="X13" s="2" t="n">
        <v>1</v>
      </c>
      <c r="Y13" s="2" t="inlineStr">
        <is>
          <t>Generated answer</t>
        </is>
      </c>
      <c r="Z13" s="2" t="inlineStr">
        <is>
          <t>initial evidence_mismatched [invented_condition] -&gt; final valid; repair applied</t>
        </is>
      </c>
      <c r="AA13" s="2" t="inlineStr"/>
      <c r="AB13" s="2" t="inlineStr">
        <is>
          <t>FAIL</t>
        </is>
      </c>
      <c r="AC13" s="2" t="n">
        <v>0</v>
      </c>
      <c r="AD13" s="2" t="inlineStr">
        <is>
          <t>Partially correct: 3 statement(s) could not be verified; 2 statement(s) only partly address the question - e.g. the regulation it corresponds to (21 CFR 80.35(a)) is about color/additiv/exempt/certific</t>
        </is>
      </c>
      <c r="AE13" s="3" t="n">
        <v>27.018</v>
      </c>
      <c r="AF13" s="3" t="n">
        <v>3.323</v>
      </c>
      <c r="AG13" s="3" t="n">
        <v>23.684</v>
      </c>
      <c r="AH13" s="3" t="n">
        <v>0.35</v>
      </c>
      <c r="AI13" s="2" t="inlineStr"/>
    </row>
    <row r="14">
      <c r="A14" s="2" t="inlineStr">
        <is>
          <t>COS-71.27-Q1</t>
        </is>
      </c>
      <c r="B14" s="2" t="inlineStr">
        <is>
          <t>No one has petitioned for a color we'd like to use in body lotion. Can FDA list it, or exempt it from certification, on its own?</t>
        </is>
      </c>
      <c r="C14" s="2" t="inlineStr">
        <is>
          <t>Yes. Under 71.27, where a petition has not been received, if FDA has facts showing that a color additive should be listed and/or that certification is not necessary for public health protection, it may list the color additive by issuing an appropriate regulation in part 73 or part 74.</t>
        </is>
      </c>
      <c r="D14" s="2" t="inlineStr">
        <is>
          <t>[1] The available regulatory sources do not provide enough information to answer this.</t>
        </is>
      </c>
      <c r="E14" s="2" t="inlineStr">
        <is>
          <t>FAIL</t>
        </is>
      </c>
      <c r="F14" s="2" t="inlineStr">
        <is>
          <t>Declined ('sources do not provide enough information'), citing 80.35(b). Key: yes - under 71.27 FDA may list a color additive or exempt it from certification on its own initiative by regulation in part 73 or 74. 71.27 was not in the retrieved evidence.</t>
        </is>
      </c>
      <c r="G14" s="3" t="n">
        <v>5.572</v>
      </c>
      <c r="H14" s="4" t="n">
        <v>1376</v>
      </c>
      <c r="I14" s="4" t="n">
        <v>17</v>
      </c>
      <c r="J14" s="2" t="inlineStr">
        <is>
          <t>Qwen/Qwen3-0.6B</t>
        </is>
      </c>
      <c r="K14" s="2" t="inlineStr">
        <is>
          <t>BAAI/bge-small-en-v1.5 (evaluator aligner; semantic retrieval not invoked)</t>
        </is>
      </c>
      <c r="L14" s="2" t="inlineStr">
        <is>
          <t>SUCCESS</t>
        </is>
      </c>
      <c r="M14" s="2" t="inlineStr"/>
      <c r="N14" s="2" t="inlineStr">
        <is>
          <t>Expected CFR section(s) 71.27: none in evidence; none cited in answer. Evidence (5): 21 CFR 80.35(b) [full_text]; 21 CFR 73.1 [full_text]; 21 CFR 80.35(c) [full_text]; 21 CFR 80.35(a) [full_text]; 21 CFR 73.1001 [full_text]. Query type GENERAL_REGULATORY_SEARCH; semantic fallback not invoked. Coverage evidence_complete=True.</t>
        </is>
      </c>
      <c r="O14" s="2" t="n">
        <v>13</v>
      </c>
      <c r="P14" s="2" t="inlineStr">
        <is>
          <t>71</t>
        </is>
      </c>
      <c r="Q14" s="2" t="inlineStr">
        <is>
          <t>Applicability</t>
        </is>
      </c>
      <c r="R14" s="2" t="inlineStr">
        <is>
          <t>Basic</t>
        </is>
      </c>
      <c r="S14" s="2" t="inlineStr">
        <is>
          <t>21 CFR 71.27</t>
        </is>
      </c>
      <c r="T14" s="2" t="n">
        <v>0</v>
      </c>
      <c r="U14" s="2" t="n">
        <v>0</v>
      </c>
      <c r="V14" s="2" t="n">
        <v>0</v>
      </c>
      <c r="W14" s="2" t="n">
        <v>0</v>
      </c>
      <c r="X14" s="2" t="n">
        <v>1</v>
      </c>
      <c r="Y14" s="2" t="inlineStr">
        <is>
          <t>Generated answer</t>
        </is>
      </c>
      <c r="Z14" s="2" t="inlineStr">
        <is>
          <t>initial valid -&gt; final valid</t>
        </is>
      </c>
      <c r="AA14" s="2" t="inlineStr">
        <is>
          <t>[1] = 21 CFR 80.35(b)</t>
        </is>
      </c>
      <c r="AB14" s="2" t="inlineStr">
        <is>
          <t>FAIL</t>
        </is>
      </c>
      <c r="AC14" s="2" t="n">
        <v>0</v>
      </c>
      <c r="AD14" s="2" t="inlineStr">
        <is>
          <t>Incorrect refusal: the answer declines, but the retrieved evidence covers what was asked (21 CFR 80.35(a))</t>
        </is>
      </c>
      <c r="AE14" s="3" t="n">
        <v>5.566</v>
      </c>
      <c r="AF14" s="3" t="n">
        <v>0.387</v>
      </c>
      <c r="AG14" s="3" t="n">
        <v>5.171</v>
      </c>
      <c r="AH14" s="3" t="n">
        <v>0.002</v>
      </c>
      <c r="AI14" s="2" t="inlineStr"/>
    </row>
    <row r="15">
      <c r="A15" s="2" t="inlineStr">
        <is>
          <t>COS-73.2085-Q1</t>
        </is>
      </c>
      <c r="B15" s="2" t="inlineStr">
        <is>
          <t>We're developing a bronzing face cream and want to use caramel as the colorant. May we, and what restrictions, certification or labeling apply?</t>
        </is>
      </c>
      <c r="C15" s="2" t="inlineStr">
        <is>
          <t>Yes. 73.2085(b) lists caramel for coloring cosmetics generally, including cosmetics intended for use in the area of the eye, in amounts consistent with good manufacturing practice (no numeric cap). It must conform in identity and specifications to § 73.85(a)(1), (2) and (3) and (b) ((a)). The additive and its color mixtures bear § 70.25 labeling ((c)). Batches are exempt from section 721(c) certification ((d)).</t>
        </is>
      </c>
      <c r="D15"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E15" s="2" t="inlineStr">
        <is>
          <t>FAIL</t>
        </is>
      </c>
      <c r="F15" s="2" t="inlineStr">
        <is>
          <t>No answer delivered: the draft was withheld (unsupported claim). The retrieved evidence was entirely 21 CFR 1271.90 (human cells/tissues donor-eligibility exceptions), not 73.2085, so the key's answer (listed for cosmetics generally incl. eye area, GMP amounts, 73.85 specs, 70.25 labeling, certification-exempt) was not provided.</t>
        </is>
      </c>
      <c r="G15" s="3" t="n">
        <v>11.866</v>
      </c>
      <c r="H15" s="4" t="n">
        <v>1256</v>
      </c>
      <c r="I15" s="4" t="n">
        <v>85</v>
      </c>
      <c r="J15" s="2" t="inlineStr">
        <is>
          <t>Qwen/Qwen3-0.6B</t>
        </is>
      </c>
      <c r="K15" s="2" t="inlineStr">
        <is>
          <t>BAAI/bge-small-en-v1.5 (evaluator aligner; semantic retrieval not invoked)</t>
        </is>
      </c>
      <c r="L15" s="2" t="inlineStr">
        <is>
          <t>SUCCESS</t>
        </is>
      </c>
      <c r="M15" s="2" t="inlineStr"/>
      <c r="N15" s="2" t="inlineStr">
        <is>
          <t>Expected CFR section(s) 73.2085: none in evidence; none cited in answer. Evidence (8): 21 CFR 1271.90(c) [full_text]; 21 CFR 1271.90(a)(1) [full_text]; 21 CFR 1271.90(c)(1) [full_text]; 21 CFR 1271.90(c)(3)(ii)(A) [full_text]; 21 CFR 1271.90(c)(3)(ii) [full_text]; 21 CFR 1271.90(c)(4)(i) [full_text]; 21 CFR 1271.90(c)(3)(i) [full_text]; 21 CFR 1271.90(a)(3)(ii) [full_text]. Query type GENERAL_REGULATORY_SEARCH; semantic fallback not invoked. Coverage evidence_complete=True.</t>
        </is>
      </c>
      <c r="O15" s="2" t="n">
        <v>14</v>
      </c>
      <c r="P15" s="2" t="inlineStr">
        <is>
          <t>73</t>
        </is>
      </c>
      <c r="Q15" s="2" t="inlineStr">
        <is>
          <t>Applicability</t>
        </is>
      </c>
      <c r="R15" s="2" t="inlineStr">
        <is>
          <t>Basic</t>
        </is>
      </c>
      <c r="S15" s="2" t="inlineStr">
        <is>
          <t>21 CFR 73.2085(a), (b), (c), (d)</t>
        </is>
      </c>
      <c r="T15" s="2" t="n">
        <v>0</v>
      </c>
      <c r="U15" s="2" t="n">
        <v>0</v>
      </c>
      <c r="V15" s="2" t="n">
        <v>0</v>
      </c>
      <c r="W15" s="2" t="n">
        <v>0</v>
      </c>
      <c r="X15" s="2" t="n">
        <v>1</v>
      </c>
      <c r="Y15" s="2" t="inlineStr">
        <is>
          <t>Withheld by validator (no answer shown)</t>
        </is>
      </c>
      <c r="Z15" s="2" t="inlineStr">
        <is>
          <t>initial unsupported [unsupported_claim] -&gt; final valid; repair applied; fallback unvalidated_answer_withheld</t>
        </is>
      </c>
      <c r="AA15" s="2" t="inlineStr"/>
      <c r="AB15" s="2" t="inlineStr">
        <is>
          <t>FAIL</t>
        </is>
      </c>
      <c r="AC15" s="2" t="n">
        <v>0</v>
      </c>
      <c r="AD15" s="2" t="inlineStr">
        <is>
          <t>Incorrect refusal: the generated answer failed validation and was suppressed, so the question went unanswered - the suppression was right, the outcome is still no answer</t>
        </is>
      </c>
      <c r="AE15" s="3" t="n">
        <v>11.862</v>
      </c>
      <c r="AF15" s="3" t="n">
        <v>2.161</v>
      </c>
      <c r="AG15" s="3" t="n">
        <v>9.694000000000001</v>
      </c>
      <c r="AH15" s="3" t="n">
        <v>0.001</v>
      </c>
      <c r="AI15" s="2" t="inlineStr"/>
    </row>
    <row r="16">
      <c r="A16" s="2" t="inlineStr">
        <is>
          <t>COS-73.2095-Q1</t>
        </is>
      </c>
      <c r="B16" s="2" t="inlineStr">
        <is>
          <t>We're developing a sunless-look tinted moisturizer and want to use β-carotene as the colorant. May we, and what restrictions, certification or labeling apply?</t>
        </is>
      </c>
      <c r="C16" s="2" t="inlineStr">
        <is>
          <t>Yes. 73.2095(b) lists β-carotene for coloring cosmetics generally, including cosmetics intended for use in the area of the eye, in amounts consistent with good manufacturing practice (no numeric cap). It must conform in identity and specifications to § 73.95(a)(1) and (b) ((a)). The additive and its color mixtures bear § 70.25 labeling ((c)). Batches are exempt from section 721(c) certification ((d)).</t>
        </is>
      </c>
      <c r="D16"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E16" s="2" t="inlineStr">
        <is>
          <t>FAIL</t>
        </is>
      </c>
      <c r="F16" s="2" t="inlineStr">
        <is>
          <t>No answer delivered: the draft was withheld (unsupported claim, condition not in cited source). The retrieved evidence was entirely 21 CFR 1271.90 (HCT/P), not 73.2095, so the key's listing, specification, labeling and certification-exemption answer was not provided.</t>
        </is>
      </c>
      <c r="G16" s="3" t="n">
        <v>20.324</v>
      </c>
      <c r="H16" s="4" t="n">
        <v>1263</v>
      </c>
      <c r="I16" s="4" t="n">
        <v>199</v>
      </c>
      <c r="J16" s="2" t="inlineStr">
        <is>
          <t>Qwen/Qwen3-0.6B</t>
        </is>
      </c>
      <c r="K16" s="2" t="inlineStr">
        <is>
          <t>BAAI/bge-small-en-v1.5 (evaluator aligner; semantic retrieval not invoked)</t>
        </is>
      </c>
      <c r="L16" s="2" t="inlineStr">
        <is>
          <t>SUCCESS</t>
        </is>
      </c>
      <c r="M16" s="2" t="inlineStr"/>
      <c r="N16" s="2" t="inlineStr">
        <is>
          <t>Expected CFR section(s) 73.2095: none in evidence; none cited in answer. Evidence (8): 21 CFR 1271.90(c) [full_text]; 21 CFR 1271.90(a)(1) [full_text]; 21 CFR 1271.90(c)(1) [full_text]; 21 CFR 1271.90(c)(3)(ii)(A) [full_text]; 21 CFR 1271.90(c)(3)(ii) [full_text]; 21 CFR 1271.90(c)(4)(i) [full_text]; 21 CFR 1271.90(c)(3)(i) [full_text]; 21 CFR 1271.90(a)(3)(ii) [full_text]. Query type GENERAL_REGULATORY_SEARCH; semantic fallback not invoked. Coverage evidence_complete=True.</t>
        </is>
      </c>
      <c r="O16" s="2" t="n">
        <v>15</v>
      </c>
      <c r="P16" s="2" t="inlineStr">
        <is>
          <t>73</t>
        </is>
      </c>
      <c r="Q16" s="2" t="inlineStr">
        <is>
          <t>Applicability</t>
        </is>
      </c>
      <c r="R16" s="2" t="inlineStr">
        <is>
          <t>Basic</t>
        </is>
      </c>
      <c r="S16" s="2" t="inlineStr">
        <is>
          <t>21 CFR 73.2095(a), (b), (c), (d)</t>
        </is>
      </c>
      <c r="T16" s="2" t="n">
        <v>0</v>
      </c>
      <c r="U16" s="2" t="n">
        <v>0</v>
      </c>
      <c r="V16" s="2" t="n">
        <v>0</v>
      </c>
      <c r="W16" s="2" t="n">
        <v>0</v>
      </c>
      <c r="X16" s="2" t="n">
        <v>1</v>
      </c>
      <c r="Y16" s="2" t="inlineStr">
        <is>
          <t>Withheld by validator (no answer shown)</t>
        </is>
      </c>
      <c r="Z16" s="2" t="inlineStr">
        <is>
          <t>initial unsupported [unsupported_claim, condition_not_in_cited_source] -&gt; final valid; repair applied; fallback unvalidated_answer_withheld</t>
        </is>
      </c>
      <c r="AA16" s="2" t="inlineStr"/>
      <c r="AB16" s="2" t="inlineStr">
        <is>
          <t>FAIL</t>
        </is>
      </c>
      <c r="AC16" s="2" t="n">
        <v>0</v>
      </c>
      <c r="AD16" s="2" t="inlineStr">
        <is>
          <t>Incorrect refusal: the generated answer failed validation and was suppressed, so the question went unanswered - the suppression was right, the outcome is still no answer</t>
        </is>
      </c>
      <c r="AE16" s="3" t="n">
        <v>20.32</v>
      </c>
      <c r="AF16" s="3" t="n">
        <v>2.059</v>
      </c>
      <c r="AG16" s="3" t="n">
        <v>18.246</v>
      </c>
      <c r="AH16" s="3" t="n">
        <v>0.001</v>
      </c>
      <c r="AI16" s="2" t="inlineStr"/>
    </row>
    <row r="17">
      <c r="A17" s="2" t="inlineStr">
        <is>
          <t>COS-73.2180-Q1</t>
        </is>
      </c>
      <c r="B17" s="2" t="inlineStr">
        <is>
          <t>We want guaiazulene to give a blue tint to a facial serum and a lip balm. Is that allowed, and what applies?</t>
        </is>
      </c>
      <c r="C17" s="2" t="inlineStr">
        <is>
          <t>73.2180(c) permits guaiazulene in externally applied cosmetics in amounts consistent with good manufacturing practice, so the serum can qualify. § 70.3(v) excludes lips from externally applied cosmetics, so the lip balm is outside the listed use. (d): § 70.25 labeling. (e): exempt from certification. It must meet (b) specifications.</t>
        </is>
      </c>
      <c r="D17" s="2" t="inlineStr">
        <is>
          <t>The available regulatory sources do not provide enough information to answer this question. [1]</t>
        </is>
      </c>
      <c r="E17" s="2" t="inlineStr">
        <is>
          <t>FAIL</t>
        </is>
      </c>
      <c r="F17" s="2" t="inlineStr">
        <is>
          <t>Declined ('sources do not provide enough information'), citing a Prussian Blue drug guidance. Key: guaiazulene is permitted in externally applied cosmetics (serum yes), lips excluded under 70.3(v) (lip balm no), 70.25 labeling, certification-exempt. 73.2180 was not in the retrieved evidence.</t>
        </is>
      </c>
      <c r="G17" s="3" t="n">
        <v>6.495</v>
      </c>
      <c r="H17" s="4" t="n">
        <v>1426</v>
      </c>
      <c r="I17" s="4" t="n">
        <v>18</v>
      </c>
      <c r="J17" s="2" t="inlineStr">
        <is>
          <t>Qwen/Qwen3-0.6B</t>
        </is>
      </c>
      <c r="K17" s="2" t="inlineStr">
        <is>
          <t>BAAI/bge-small-en-v1.5 (evaluator aligner; semantic retrieval not invoked)</t>
        </is>
      </c>
      <c r="L17" s="2" t="inlineStr">
        <is>
          <t>SUCCESS</t>
        </is>
      </c>
      <c r="M17" s="2" t="inlineStr"/>
      <c r="N17" s="2" t="inlineStr">
        <is>
          <t>Expected CFR section(s) 73.2180: none in evidence; none cited in answer. Evidence (4): FDA Guidance: Prussian Blue Drug Products — Submitting a New Drug Application (final, 2003-02-04, Docket FDA-2 [full_text_or]; FDA Guidance: Electromagnetic Compatibility (EMC) of Medical Devices: Guidance for Industry and Food and Drug  [full_text_or]; 21 CFR 347.3 [full_text_or]; 21 CFR 347.50(a)(2) [full_text_or]. Query type GENERAL_REGULATORY_SEARCH; semantic fallback not invoked. Coverage evidence_complete=True.</t>
        </is>
      </c>
      <c r="O17" s="2" t="n">
        <v>16</v>
      </c>
      <c r="P17" s="2" t="inlineStr">
        <is>
          <t>73</t>
        </is>
      </c>
      <c r="Q17" s="2" t="inlineStr">
        <is>
          <t>Applicability</t>
        </is>
      </c>
      <c r="R17" s="2" t="inlineStr">
        <is>
          <t>Basic</t>
        </is>
      </c>
      <c r="S17" s="2" t="inlineStr">
        <is>
          <t>21 CFR 73.2180(a)-(e)</t>
        </is>
      </c>
      <c r="T17" s="2" t="n">
        <v>0</v>
      </c>
      <c r="U17" s="2" t="n">
        <v>0</v>
      </c>
      <c r="V17" s="2" t="n">
        <v>0</v>
      </c>
      <c r="W17" s="2" t="n">
        <v>0</v>
      </c>
      <c r="X17" s="2" t="n">
        <v>1</v>
      </c>
      <c r="Y17" s="2" t="inlineStr">
        <is>
          <t>Generated answer</t>
        </is>
      </c>
      <c r="Z17" s="2" t="inlineStr">
        <is>
          <t>initial valid -&gt; final valid</t>
        </is>
      </c>
      <c r="AA17" s="2" t="inlineStr">
        <is>
          <t>[1] = FDA Guidance: Prussian Blue Drug Products — Submitting a New Drug Application (final, 2003-02-04, Docket FDA-2003-D-0727)</t>
        </is>
      </c>
      <c r="AB17" s="2" t="inlineStr">
        <is>
          <t>NOT EVALUATED</t>
        </is>
      </c>
      <c r="AC17" s="2" t="n"/>
      <c r="AD17" s="2" t="inlineStr">
        <is>
          <t>Cannot be verified: the answer declines, and neither the pipeline state nor the retrieved evidence establishes whether the question could have been answered</t>
        </is>
      </c>
      <c r="AE17" s="3" t="n">
        <v>6.49</v>
      </c>
      <c r="AF17" s="3" t="n">
        <v>2.551</v>
      </c>
      <c r="AG17" s="3" t="n">
        <v>3.932</v>
      </c>
      <c r="AH17" s="3" t="n">
        <v>0.002</v>
      </c>
      <c r="AI17" s="2" t="inlineStr"/>
    </row>
    <row r="18">
      <c r="A18" s="2" t="inlineStr">
        <is>
          <t>COS-73.2250-Q1</t>
        </is>
      </c>
      <c r="B18" s="2" t="inlineStr">
        <is>
          <t>We're developing a liquid foundation and want to use iron oxides as the colorant. May we, and what restrictions, certification or labeling apply?</t>
        </is>
      </c>
      <c r="C18" s="2" t="inlineStr">
        <is>
          <t>Yes. 73.2250(c) lists synthetic iron oxides for coloring cosmetics generally, including cosmetics intended for use in the area of the eye, in amounts consistent with good manufacturing practice. (a): synthetically prepared, free from admixture with other substances. (b): arsenic ≤3 ppm, lead ≤10 ppm, mercury ≤3 ppm. (d): § 70.25 labeling. (e): exempt from certification.</t>
        </is>
      </c>
      <c r="D18"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E18" s="2" t="inlineStr">
        <is>
          <t>FAIL</t>
        </is>
      </c>
      <c r="F18" s="2" t="inlineStr">
        <is>
          <t>No answer delivered: the draft was withheld (unsupported claim, invented condition, qualifier errors). The retrieved evidence was entirely 21 CFR 1271.90 (HCT/P), not 73.2250, so the key's answer (synthetic iron oxides listed for cosmetics incl. eye area; As 3 / Pb 10 / Hg 3 ppm; 70.25 labeling; certification-exempt) was not provided.</t>
        </is>
      </c>
      <c r="G18" s="3" t="n">
        <v>15.526</v>
      </c>
      <c r="H18" s="4" t="n">
        <v>1256</v>
      </c>
      <c r="I18" s="4" t="n">
        <v>171</v>
      </c>
      <c r="J18" s="2" t="inlineStr">
        <is>
          <t>Qwen/Qwen3-0.6B</t>
        </is>
      </c>
      <c r="K18" s="2" t="inlineStr">
        <is>
          <t>BAAI/bge-small-en-v1.5 (evaluator aligner; semantic retrieval not invoked)</t>
        </is>
      </c>
      <c r="L18" s="2" t="inlineStr">
        <is>
          <t>SUCCESS</t>
        </is>
      </c>
      <c r="M18" s="2" t="inlineStr"/>
      <c r="N18" s="2" t="inlineStr">
        <is>
          <t>Expected CFR section(s) 73.2250: none in evidence; none cited in answer. Evidence (8): 21 CFR 1271.90(c) [full_text]; 21 CFR 1271.90(a)(1) [full_text]; 21 CFR 1271.90(c)(1) [full_text]; 21 CFR 1271.90(c)(3)(ii)(A) [full_text]; 21 CFR 1271.90(c)(3)(ii) [full_text]; 21 CFR 1271.90(c)(4)(i) [full_text]; 21 CFR 1271.90(c)(3)(i) [full_text]; 21 CFR 1271.90(a)(3)(ii) [full_text]. Query type GENERAL_REGULATORY_SEARCH; semantic fallback not invoked. Coverage evidence_complete=True.</t>
        </is>
      </c>
      <c r="O18" s="2" t="n">
        <v>17</v>
      </c>
      <c r="P18" s="2" t="inlineStr">
        <is>
          <t>73</t>
        </is>
      </c>
      <c r="Q18" s="2" t="inlineStr">
        <is>
          <t>Applicability</t>
        </is>
      </c>
      <c r="R18" s="2" t="inlineStr">
        <is>
          <t>Basic</t>
        </is>
      </c>
      <c r="S18" s="2" t="inlineStr">
        <is>
          <t>21 CFR 73.2250(a)-(e)</t>
        </is>
      </c>
      <c r="T18" s="2" t="n">
        <v>0</v>
      </c>
      <c r="U18" s="2" t="n">
        <v>0</v>
      </c>
      <c r="V18" s="2" t="n">
        <v>0</v>
      </c>
      <c r="W18" s="2" t="n">
        <v>0</v>
      </c>
      <c r="X18" s="2" t="n">
        <v>1</v>
      </c>
      <c r="Y18" s="2" t="inlineStr">
        <is>
          <t>Withheld by validator (no answer shown)</t>
        </is>
      </c>
      <c r="Z18" s="2" t="inlineStr">
        <is>
          <t>initial unsupported [unsupported_claim, invented_condition, qualifier_dropped, qualifier_misapplied] -&gt; final valid; repair applied; fallback unvalidated_answer_withheld</t>
        </is>
      </c>
      <c r="AA18" s="2" t="inlineStr"/>
      <c r="AB18" s="2" t="inlineStr">
        <is>
          <t>FAIL</t>
        </is>
      </c>
      <c r="AC18" s="2" t="n">
        <v>0</v>
      </c>
      <c r="AD18" s="2" t="inlineStr">
        <is>
          <t>Incorrect refusal: the generated answer failed validation and was suppressed, so the question went unanswered - the suppression was right, the outcome is still no answer</t>
        </is>
      </c>
      <c r="AE18" s="3" t="n">
        <v>15.522</v>
      </c>
      <c r="AF18" s="3" t="n">
        <v>1.003</v>
      </c>
      <c r="AG18" s="3" t="n">
        <v>14.513</v>
      </c>
      <c r="AH18" s="3" t="n">
        <v>0.001</v>
      </c>
      <c r="AI18" s="2" t="inlineStr"/>
    </row>
    <row r="19">
      <c r="A19" s="2" t="inlineStr">
        <is>
          <t>COS-73.2298-Q1</t>
        </is>
      </c>
      <c r="B19" s="2" t="inlineStr">
        <is>
          <t>We're developing a blue eyeliner and want to use ferric ammonium ferrocyanide as the colorant. May we, and what restrictions, certification or labeling apply?</t>
        </is>
      </c>
      <c r="C19" s="2" t="inlineStr">
        <is>
          <t>Yes. 73.2298(b) lists ferric ammonium ferrocyanide for coloring externally applied cosmetics, including cosmetics intended for use in the area of the eye, in amounts consistent with good manufacturing practice (no numeric cap). It must conform in identity and specifications to § 73.1298(a)(1) and (b) ((a)). The additive and its color mixtures bear § 70.25 labeling ((c)). Batches are exempt from section 721(c) certification ((d)).</t>
        </is>
      </c>
      <c r="D19"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E19" s="2" t="inlineStr">
        <is>
          <t>FAIL</t>
        </is>
      </c>
      <c r="F19" s="2" t="inlineStr">
        <is>
          <t>No answer delivered: the draft was withheld. The retrieved evidence was entirely 21 CFR 1271.90 (HCT/P), not 73.2298, so the key's answer (listed for externally applied cosmetics incl. eye area, 73.1298 specs, 70.25 labeling, certification-exempt) was not provided.</t>
        </is>
      </c>
      <c r="G19" s="3" t="n">
        <v>14.269</v>
      </c>
      <c r="H19" s="4" t="n">
        <v>1262</v>
      </c>
      <c r="I19" s="4" t="n">
        <v>149</v>
      </c>
      <c r="J19" s="2" t="inlineStr">
        <is>
          <t>Qwen/Qwen3-0.6B</t>
        </is>
      </c>
      <c r="K19" s="2" t="inlineStr">
        <is>
          <t>BAAI/bge-small-en-v1.5 (evaluator aligner; semantic retrieval not invoked)</t>
        </is>
      </c>
      <c r="L19" s="2" t="inlineStr">
        <is>
          <t>SUCCESS</t>
        </is>
      </c>
      <c r="M19" s="2" t="inlineStr"/>
      <c r="N19" s="2" t="inlineStr">
        <is>
          <t>Expected CFR section(s) 73.2298: none in evidence; none cited in answer. Evidence (8): 21 CFR 1271.90(c) [full_text]; 21 CFR 1271.90(a)(1) [full_text]; 21 CFR 1271.90(c)(1) [full_text]; 21 CFR 1271.90(c)(3)(ii)(A) [full_text]; 21 CFR 1271.90(c)(3)(ii) [full_text]; 21 CFR 1271.90(c)(4)(i) [full_text]; 21 CFR 1271.90(c)(3)(i) [full_text]; 21 CFR 1271.90(a)(3)(ii) [full_text]. Query type GENERAL_REGULATORY_SEARCH; semantic fallback not invoked. Coverage evidence_complete=True.</t>
        </is>
      </c>
      <c r="O19" s="2" t="n">
        <v>18</v>
      </c>
      <c r="P19" s="2" t="inlineStr">
        <is>
          <t>73</t>
        </is>
      </c>
      <c r="Q19" s="2" t="inlineStr">
        <is>
          <t>Applicability</t>
        </is>
      </c>
      <c r="R19" s="2" t="inlineStr">
        <is>
          <t>Basic</t>
        </is>
      </c>
      <c r="S19" s="2" t="inlineStr">
        <is>
          <t>21 CFR 73.2298(a), (b), (c), (d)</t>
        </is>
      </c>
      <c r="T19" s="2" t="n">
        <v>0</v>
      </c>
      <c r="U19" s="2" t="n">
        <v>0</v>
      </c>
      <c r="V19" s="2" t="n">
        <v>0</v>
      </c>
      <c r="W19" s="2" t="n">
        <v>0</v>
      </c>
      <c r="X19" s="2" t="n">
        <v>1</v>
      </c>
      <c r="Y19" s="2" t="inlineStr">
        <is>
          <t>Withheld by validator (no answer shown)</t>
        </is>
      </c>
      <c r="Z19" s="2" t="inlineStr">
        <is>
          <t>initial unsupported [unsupported_claim, invented_condition, qualifier_misapplied] -&gt; final valid; repair applied; fallback unvalidated_answer_withheld</t>
        </is>
      </c>
      <c r="AA19" s="2" t="inlineStr"/>
      <c r="AB19" s="2" t="inlineStr">
        <is>
          <t>FAIL</t>
        </is>
      </c>
      <c r="AC19" s="2" t="n">
        <v>0</v>
      </c>
      <c r="AD19" s="2" t="inlineStr">
        <is>
          <t>Incorrect refusal: the generated answer failed validation and was suppressed, so the question went unanswered - the suppression was right, the outcome is still no answer</t>
        </is>
      </c>
      <c r="AE19" s="3" t="n">
        <v>14.264</v>
      </c>
      <c r="AF19" s="3" t="n">
        <v>1.075</v>
      </c>
      <c r="AG19" s="3" t="n">
        <v>13.184</v>
      </c>
      <c r="AH19" s="3" t="n">
        <v>0.001</v>
      </c>
      <c r="AI19" s="2" t="inlineStr"/>
    </row>
    <row r="20">
      <c r="A20" s="2" t="inlineStr">
        <is>
          <t>COS-73.2575-Q1</t>
        </is>
      </c>
      <c r="B20" s="2" t="inlineStr">
        <is>
          <t>We're developing a mineral eye shadow base and want to use titanium dioxide as the colorant. May we, and what restrictions, certification or labeling apply?</t>
        </is>
      </c>
      <c r="C20" s="2" t="inlineStr">
        <is>
          <t>Yes. 73.2575(b) lists titanium dioxide for coloring cosmetics generally, including cosmetics intended for use in the area of the eye, in amounts consistent with good manufacturing practice (no numeric cap). It must conform in identity and specifications to § 73.575(a)(1) and (b) ((a)). The additive and its color mixtures bear § 70.25 labeling ((c)). Batches are exempt from section 721(c) certification ((d)).</t>
        </is>
      </c>
      <c r="D20"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E20" s="2" t="inlineStr">
        <is>
          <t>FAIL</t>
        </is>
      </c>
      <c r="F20" s="2" t="inlineStr">
        <is>
          <t>No answer delivered: the draft was degenerate (truncated, repeated) and withheld. The retrieved evidence was entirely 21 CFR 1271.90 (HCT/P), not 73.2575, so the key's titanium dioxide answer was not provided.</t>
        </is>
      </c>
      <c r="G20" s="3" t="n">
        <v>32.897</v>
      </c>
      <c r="H20" s="4" t="n">
        <v>1257</v>
      </c>
      <c r="I20" s="4" t="n">
        <v>336</v>
      </c>
      <c r="J20" s="2" t="inlineStr">
        <is>
          <t>Qwen/Qwen3-0.6B</t>
        </is>
      </c>
      <c r="K20" s="2" t="inlineStr">
        <is>
          <t>BAAI/bge-small-en-v1.5 (evaluator aligner; semantic retrieval not invoked)</t>
        </is>
      </c>
      <c r="L20" s="2" t="inlineStr">
        <is>
          <t>SUCCESS</t>
        </is>
      </c>
      <c r="M20" s="2" t="inlineStr"/>
      <c r="N20" s="2" t="inlineStr">
        <is>
          <t>Expected CFR section(s) 73.2575: none in evidence; none cited in answer. Evidence (8): 21 CFR 1271.90(c) [full_text]; 21 CFR 1271.90(a)(1) [full_text]; 21 CFR 1271.90(c)(1) [full_text]; 21 CFR 1271.90(c)(3)(ii)(A) [full_text]; 21 CFR 1271.90(c)(3)(ii) [full_text]; 21 CFR 1271.90(c)(4)(i) [full_text]; 21 CFR 1271.90(c)(3)(i) [full_text]; 21 CFR 1271.90(a)(3)(ii) [full_text]. Query type GENERAL_REGULATORY_SEARCH; semantic fallback not invoked. Coverage evidence_complete=True.</t>
        </is>
      </c>
      <c r="O20" s="2" t="n">
        <v>19</v>
      </c>
      <c r="P20" s="2" t="inlineStr">
        <is>
          <t>73</t>
        </is>
      </c>
      <c r="Q20" s="2" t="inlineStr">
        <is>
          <t>Applicability</t>
        </is>
      </c>
      <c r="R20" s="2" t="inlineStr">
        <is>
          <t>Basic</t>
        </is>
      </c>
      <c r="S20" s="2" t="inlineStr">
        <is>
          <t>21 CFR 73.2575(a), (b), (c), (d)</t>
        </is>
      </c>
      <c r="T20" s="2" t="n">
        <v>0</v>
      </c>
      <c r="U20" s="2" t="n">
        <v>0</v>
      </c>
      <c r="V20" s="2" t="n">
        <v>0</v>
      </c>
      <c r="W20" s="2" t="n">
        <v>0</v>
      </c>
      <c r="X20" s="2" t="n">
        <v>1</v>
      </c>
      <c r="Y20" s="2" t="inlineStr">
        <is>
          <t>Withheld by validator (no answer shown)</t>
        </is>
      </c>
      <c r="Z20" s="2" t="inlineStr">
        <is>
          <t>initial degenerate [degenerate_output, truncated, qualifier_dropped, repeated_statement] -&gt; final incomplete; repair applied; fallback unvalidated_answer_withheld; stop repetition; generation hit token allowance</t>
        </is>
      </c>
      <c r="AA20" s="2" t="inlineStr"/>
      <c r="AB20" s="2" t="inlineStr">
        <is>
          <t>FAIL</t>
        </is>
      </c>
      <c r="AC20" s="2" t="n">
        <v>0</v>
      </c>
      <c r="AD20" s="2" t="inlineStr">
        <is>
          <t>Incorrect refusal: the generated answer failed validation and was suppressed, so the question went unanswered - the suppression was right, the outcome is still no answer</t>
        </is>
      </c>
      <c r="AE20" s="3" t="n">
        <v>32.893</v>
      </c>
      <c r="AF20" s="3" t="n">
        <v>1.061</v>
      </c>
      <c r="AG20" s="3" t="n">
        <v>31.826</v>
      </c>
      <c r="AH20" s="3" t="n">
        <v>0.001</v>
      </c>
      <c r="AI20" s="2" t="inlineStr"/>
    </row>
    <row r="21">
      <c r="A21" s="2" t="inlineStr">
        <is>
          <t>COS-73.2645-Q1</t>
        </is>
      </c>
      <c r="B21" s="2" t="inlineStr">
        <is>
          <t>We're developing a metallic eyeliner and want to use aluminum powder as the colorant. May we, and what restrictions, certification or labeling apply?</t>
        </is>
      </c>
      <c r="C21" s="2" t="inlineStr">
        <is>
          <t>Yes. 73.2645(b) lists aluminum powder for coloring externally applied cosmetics, including cosmetics intended for use in the area of the eye, in amounts consistent with good manufacturing practice (no numeric cap). It must conform in identity and specifications to § 73.1645(a)(1) and (b) ((a)). The additive and its color mixtures bear § 70.25 labeling ((c)). Batches are exempt from section 721(c) certification ((d)).</t>
        </is>
      </c>
      <c r="D21"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E21" s="2" t="inlineStr">
        <is>
          <t>FAIL</t>
        </is>
      </c>
      <c r="F21" s="2" t="inlineStr">
        <is>
          <t>No answer delivered: the draft was withheld. The retrieved evidence was entirely 21 CFR 1271.90 (HCT/P), not 73.2645, so the key's aluminum powder answer (externally applied incl. eye area, 73.1645 specs, 70.25 labeling, certification-exempt) was not provided.</t>
        </is>
      </c>
      <c r="G21" s="3" t="n">
        <v>27.82</v>
      </c>
      <c r="H21" s="4" t="n">
        <v>1256</v>
      </c>
      <c r="I21" s="4" t="n">
        <v>147</v>
      </c>
      <c r="J21" s="2" t="inlineStr">
        <is>
          <t>Qwen/Qwen3-0.6B</t>
        </is>
      </c>
      <c r="K21" s="2" t="inlineStr">
        <is>
          <t>BAAI/bge-small-en-v1.5 (evaluator aligner; semantic retrieval not invoked)</t>
        </is>
      </c>
      <c r="L21" s="2" t="inlineStr">
        <is>
          <t>SUCCESS</t>
        </is>
      </c>
      <c r="M21" s="2" t="inlineStr"/>
      <c r="N21" s="2" t="inlineStr">
        <is>
          <t>Expected CFR section(s) 73.2645: none in evidence; none cited in answer. Evidence (8): 21 CFR 1271.90(c) [full_text]; 21 CFR 1271.90(a)(1) [full_text]; 21 CFR 1271.90(c)(1) [full_text]; 21 CFR 1271.90(c)(3)(ii)(A) [full_text]; 21 CFR 1271.90(c)(3)(ii) [full_text]; 21 CFR 1271.90(c)(4)(i) [full_text]; 21 CFR 1271.90(c)(3)(i) [full_text]; 21 CFR 1271.90(a)(3)(ii) [full_text]. Query type GENERAL_REGULATORY_SEARCH; semantic fallback not invoked. Coverage evidence_complete=True.</t>
        </is>
      </c>
      <c r="O21" s="2" t="n">
        <v>20</v>
      </c>
      <c r="P21" s="2" t="inlineStr">
        <is>
          <t>73</t>
        </is>
      </c>
      <c r="Q21" s="2" t="inlineStr">
        <is>
          <t>Applicability</t>
        </is>
      </c>
      <c r="R21" s="2" t="inlineStr">
        <is>
          <t>Basic</t>
        </is>
      </c>
      <c r="S21" s="2" t="inlineStr">
        <is>
          <t>21 CFR 73.2645(a), (b), (c), (d)</t>
        </is>
      </c>
      <c r="T21" s="2" t="n">
        <v>0</v>
      </c>
      <c r="U21" s="2" t="n">
        <v>0</v>
      </c>
      <c r="V21" s="2" t="n">
        <v>0</v>
      </c>
      <c r="W21" s="2" t="n">
        <v>0</v>
      </c>
      <c r="X21" s="2" t="n">
        <v>1</v>
      </c>
      <c r="Y21" s="2" t="inlineStr">
        <is>
          <t>Withheld by validator (no answer shown)</t>
        </is>
      </c>
      <c r="Z21" s="2" t="inlineStr">
        <is>
          <t>initial unsupported [unsupported_claim, qualifier_dropped] -&gt; final valid; repair applied; fallback unvalidated_answer_withheld</t>
        </is>
      </c>
      <c r="AA21" s="2" t="inlineStr"/>
      <c r="AB21" s="2" t="inlineStr">
        <is>
          <t>FAIL</t>
        </is>
      </c>
      <c r="AC21" s="2" t="n">
        <v>0</v>
      </c>
      <c r="AD21" s="2" t="inlineStr">
        <is>
          <t>Incorrect refusal: the generated answer failed validation and was suppressed, so the question went unanswered - the suppression was right, the outcome is still no answer</t>
        </is>
      </c>
      <c r="AE21" s="3" t="n">
        <v>27.809</v>
      </c>
      <c r="AF21" s="3" t="n">
        <v>2.097</v>
      </c>
      <c r="AG21" s="3" t="n">
        <v>25.696</v>
      </c>
      <c r="AH21" s="3" t="n">
        <v>0.001</v>
      </c>
      <c r="AI21" s="2" t="inlineStr"/>
    </row>
    <row r="22">
      <c r="A22" s="2" t="inlineStr">
        <is>
          <t>COS-73.2646-Q1</t>
        </is>
      </c>
      <c r="B22" s="2" t="inlineStr">
        <is>
          <t>We're developing a bronze eye shadow and want to use bronze powder as the colorant. May we, and what restrictions, certification or labeling apply?</t>
        </is>
      </c>
      <c r="C22" s="2" t="inlineStr">
        <is>
          <t>Yes. 73.2646(b) lists bronze powder for coloring cosmetics generally, including cosmetics intended for use in the area of the eye, in amounts consistent with good manufacturing practice (no numeric cap). It must conform in identity and specifications to § 73.1646(a)(1) and (b) ((a)). The additive and its color mixtures bear § 70.25 labeling ((c)). Batches are exempt from section 721(c) certification ((d)).</t>
        </is>
      </c>
      <c r="D22"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E22" s="2" t="inlineStr">
        <is>
          <t>FAIL</t>
        </is>
      </c>
      <c r="F22" s="2" t="inlineStr">
        <is>
          <t>No answer delivered: the draft was withheld. The retrieved evidence was entirely 21 CFR 1271.90 (HCT/P), not 73.2646, so the key's bronze powder answer was not provided.</t>
        </is>
      </c>
      <c r="G22" s="3" t="n">
        <v>18.374</v>
      </c>
      <c r="H22" s="4" t="n">
        <v>1256</v>
      </c>
      <c r="I22" s="4" t="n">
        <v>163</v>
      </c>
      <c r="J22" s="2" t="inlineStr">
        <is>
          <t>Qwen/Qwen3-0.6B</t>
        </is>
      </c>
      <c r="K22" s="2" t="inlineStr">
        <is>
          <t>BAAI/bge-small-en-v1.5 (evaluator aligner; semantic retrieval not invoked)</t>
        </is>
      </c>
      <c r="L22" s="2" t="inlineStr">
        <is>
          <t>SUCCESS</t>
        </is>
      </c>
      <c r="M22" s="2" t="inlineStr"/>
      <c r="N22" s="2" t="inlineStr">
        <is>
          <t>Expected CFR section(s) 73.2646: none in evidence; none cited in answer. Evidence (8): 21 CFR 1271.90(c) [full_text]; 21 CFR 1271.90(a)(1) [full_text]; 21 CFR 1271.90(c)(1) [full_text]; 21 CFR 1271.90(c)(3)(ii)(A) [full_text]; 21 CFR 1271.90(c)(3)(ii) [full_text]; 21 CFR 1271.90(c)(4)(i) [full_text]; 21 CFR 1271.90(c)(3)(i) [full_text]; 21 CFR 1271.90(a)(3)(ii) [full_text]. Query type GENERAL_REGULATORY_SEARCH; semantic fallback not invoked. Coverage evidence_complete=True.</t>
        </is>
      </c>
      <c r="O22" s="2" t="n">
        <v>21</v>
      </c>
      <c r="P22" s="2" t="inlineStr">
        <is>
          <t>73</t>
        </is>
      </c>
      <c r="Q22" s="2" t="inlineStr">
        <is>
          <t>Applicability</t>
        </is>
      </c>
      <c r="R22" s="2" t="inlineStr">
        <is>
          <t>Basic</t>
        </is>
      </c>
      <c r="S22" s="2" t="inlineStr">
        <is>
          <t>21 CFR 73.2646(a), (b), (c), (d)</t>
        </is>
      </c>
      <c r="T22" s="2" t="n">
        <v>0</v>
      </c>
      <c r="U22" s="2" t="n">
        <v>0</v>
      </c>
      <c r="V22" s="2" t="n">
        <v>0</v>
      </c>
      <c r="W22" s="2" t="n">
        <v>0</v>
      </c>
      <c r="X22" s="2" t="n">
        <v>1</v>
      </c>
      <c r="Y22" s="2" t="inlineStr">
        <is>
          <t>Withheld by validator (no answer shown)</t>
        </is>
      </c>
      <c r="Z22" s="2" t="inlineStr">
        <is>
          <t>initial unsupported [unsupported_claim, qualifier_dropped] -&gt; final valid; repair applied; fallback unvalidated_answer_withheld</t>
        </is>
      </c>
      <c r="AA22" s="2" t="inlineStr"/>
      <c r="AB22" s="2" t="inlineStr">
        <is>
          <t>FAIL</t>
        </is>
      </c>
      <c r="AC22" s="2" t="n">
        <v>0</v>
      </c>
      <c r="AD22" s="2" t="inlineStr">
        <is>
          <t>Incorrect refusal: the generated answer failed validation and was suppressed, so the question went unanswered - the suppression was right, the outcome is still no answer</t>
        </is>
      </c>
      <c r="AE22" s="3" t="n">
        <v>18.369</v>
      </c>
      <c r="AF22" s="3" t="n">
        <v>2.468</v>
      </c>
      <c r="AG22" s="3" t="n">
        <v>15.894</v>
      </c>
      <c r="AH22" s="3" t="n">
        <v>0.001</v>
      </c>
      <c r="AI22" s="2" t="inlineStr"/>
    </row>
    <row r="23">
      <c r="A23" s="2" t="inlineStr">
        <is>
          <t>COS-73.2647-Q1</t>
        </is>
      </c>
      <c r="B23" s="2" t="inlineStr">
        <is>
          <t>We're developing a copper-toned blush and want to use copper powder as the colorant. May we, and what restrictions, certification or labeling apply?</t>
        </is>
      </c>
      <c r="C23" s="2" t="inlineStr">
        <is>
          <t>Yes. 73.2647(b) lists copper powder for coloring cosmetics generally, including cosmetics intended for use in the area of the eye, in amounts consistent with good manufacturing practice (no numeric cap). It must conform in identity and specifications to § 73.1647(a)(1) and (b) ((a)). The additive and its color mixtures bear § 70.25 labeling ((c)). Batches are exempt from section 721(c) certification ((d)).</t>
        </is>
      </c>
      <c r="D23"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E23" s="2" t="inlineStr">
        <is>
          <t>FAIL</t>
        </is>
      </c>
      <c r="F23" s="2" t="inlineStr">
        <is>
          <t>No answer delivered: the draft was withheld. The retrieved evidence was entirely 21 CFR 1271.90 (HCT/P), not 73.2647, so the key's copper powder answer was not provided.</t>
        </is>
      </c>
      <c r="G23" s="3" t="n">
        <v>17.223</v>
      </c>
      <c r="H23" s="4" t="n">
        <v>1257</v>
      </c>
      <c r="I23" s="4" t="n">
        <v>153</v>
      </c>
      <c r="J23" s="2" t="inlineStr">
        <is>
          <t>Qwen/Qwen3-0.6B</t>
        </is>
      </c>
      <c r="K23" s="2" t="inlineStr">
        <is>
          <t>BAAI/bge-small-en-v1.5 (evaluator aligner; semantic retrieval not invoked)</t>
        </is>
      </c>
      <c r="L23" s="2" t="inlineStr">
        <is>
          <t>SUCCESS</t>
        </is>
      </c>
      <c r="M23" s="2" t="inlineStr"/>
      <c r="N23" s="2" t="inlineStr">
        <is>
          <t>Expected CFR section(s) 73.2647: none in evidence; none cited in answer. Evidence (8): 21 CFR 1271.90(c) [full_text]; 21 CFR 1271.90(a)(1) [full_text]; 21 CFR 1271.90(c)(1) [full_text]; 21 CFR 1271.90(c)(3)(ii)(A) [full_text]; 21 CFR 1271.90(c)(3)(ii) [full_text]; 21 CFR 1271.90(c)(4)(i) [full_text]; 21 CFR 1271.90(c)(3)(i) [full_text]; 21 CFR 1271.90(a)(3)(ii) [full_text]. Query type GENERAL_REGULATORY_SEARCH; semantic fallback not invoked. Coverage evidence_complete=True.</t>
        </is>
      </c>
      <c r="O23" s="2" t="n">
        <v>22</v>
      </c>
      <c r="P23" s="2" t="inlineStr">
        <is>
          <t>73</t>
        </is>
      </c>
      <c r="Q23" s="2" t="inlineStr">
        <is>
          <t>Applicability</t>
        </is>
      </c>
      <c r="R23" s="2" t="inlineStr">
        <is>
          <t>Basic</t>
        </is>
      </c>
      <c r="S23" s="2" t="inlineStr">
        <is>
          <t>21 CFR 73.2647(a), (b), (c), (d)</t>
        </is>
      </c>
      <c r="T23" s="2" t="n">
        <v>0</v>
      </c>
      <c r="U23" s="2" t="n">
        <v>0</v>
      </c>
      <c r="V23" s="2" t="n">
        <v>0</v>
      </c>
      <c r="W23" s="2" t="n">
        <v>0</v>
      </c>
      <c r="X23" s="2" t="n">
        <v>1</v>
      </c>
      <c r="Y23" s="2" t="inlineStr">
        <is>
          <t>Withheld by validator (no answer shown)</t>
        </is>
      </c>
      <c r="Z23" s="2" t="inlineStr">
        <is>
          <t>initial unsupported [unsupported_claim, condition_not_in_cited_source] -&gt; final valid; repair applied; fallback unvalidated_answer_withheld</t>
        </is>
      </c>
      <c r="AA23" s="2" t="inlineStr"/>
      <c r="AB23" s="2" t="inlineStr">
        <is>
          <t>FAIL</t>
        </is>
      </c>
      <c r="AC23" s="2" t="n">
        <v>0</v>
      </c>
      <c r="AD23" s="2" t="inlineStr">
        <is>
          <t>Incorrect refusal: the generated answer failed validation and was suppressed, so the question went unanswered - the suppression was right, the outcome is still no answer</t>
        </is>
      </c>
      <c r="AE23" s="3" t="n">
        <v>17.218</v>
      </c>
      <c r="AF23" s="3" t="n">
        <v>2.234</v>
      </c>
      <c r="AG23" s="3" t="n">
        <v>14.973</v>
      </c>
      <c r="AH23" s="3" t="n">
        <v>0.001</v>
      </c>
      <c r="AI23" s="2" t="inlineStr"/>
    </row>
    <row r="24">
      <c r="A24" s="2" t="inlineStr">
        <is>
          <t>COS-73.2725-Q1</t>
        </is>
      </c>
      <c r="B24" s="2" t="inlineStr">
        <is>
          <t>We're developing a blue eye shadow and want to use ultramarine blue as the colorant. May we, and what restrictions, certification or labeling apply?</t>
        </is>
      </c>
      <c r="C24" s="2" t="inlineStr">
        <is>
          <t>Yes. 73.2725(c) lists the ultramarine pigments (blue, green, pink, red, violet) for coloring externally applied cosmetics, including cosmetics intended for use in the area of the eye, in amounts consistent with good manufacturing practice. (b): lead ≤20 ppm, arsenic ≤3 ppm, mercury ≤1 ppm. (d): § 70.25 labeling. (e): exempt from section 721(c) certification.</t>
        </is>
      </c>
      <c r="D24" s="2" t="inlineStr">
        <is>
          <t>The requested provision requires that a blue eye shadow must be labeled as an HCT/P described in paragraphs (a) and (b) of this section, with required labeling as specified. If the results of any screening or testing indicate the presence of relevant communicable disease agents, the labeling must also include that information. Additionally, if the donor-eligibility determination under § 1271.50(a) is not performed or completed, appropriate measures must be taken to screen and test the donor(s) before transfer. The labeling must also include "FOR AUTOLOGOUS USE ONLY" if the results indicate the presence of relevant communicable disease agents. The availability of the source is confirmed. [4][5]</t>
        </is>
      </c>
      <c r="E24" s="2" t="inlineStr">
        <is>
          <t>FAIL</t>
        </is>
      </c>
      <c r="F24" s="2" t="inlineStr">
        <is>
          <t>Wrong. Answers with human cell/tissue (HCT/P) labeling and donor-testing rules from 21 CFR 1271.90 ('FOR AUTOLOGOUS USE ONLY'), which have nothing to do with ultramarine blue in eye shadow. Key: ultramarines listed for externally applied cosmetics incl. eye area; Pb 20 / As 3 / Hg 1 ppm; 70.25 labeling; certification-exempt. 73.2725 was not in the retrieved evidence. Fabricated = 1 (bank Instructions rule 3, invented requirement): HCT/P labeling rules (21 CFR 1271.90) stated as applying to an eye shadow.</t>
        </is>
      </c>
      <c r="G24" s="3" t="n">
        <v>15.535</v>
      </c>
      <c r="H24" s="4" t="n">
        <v>1258</v>
      </c>
      <c r="I24" s="4" t="n">
        <v>146</v>
      </c>
      <c r="J24" s="2" t="inlineStr">
        <is>
          <t>Qwen/Qwen3-0.6B</t>
        </is>
      </c>
      <c r="K24" s="2" t="inlineStr">
        <is>
          <t>BAAI/bge-small-en-v1.5 (evaluator aligner; semantic retrieval not invoked)</t>
        </is>
      </c>
      <c r="L24" s="2" t="inlineStr">
        <is>
          <t>SUCCESS</t>
        </is>
      </c>
      <c r="M24" s="2" t="inlineStr"/>
      <c r="N24" s="2" t="inlineStr">
        <is>
          <t>Expected CFR section(s) 73.2725: none in evidence; none cited in answer. Evidence (8): 21 CFR 1271.90(c) [full_text]; 21 CFR 1271.90(a)(1) [full_text]; 21 CFR 1271.90(c)(1) [full_text]; 21 CFR 1271.90(c)(3)(ii)(A) [full_text]; 21 CFR 1271.90(c)(3)(ii) [full_text]; 21 CFR 1271.90(c)(4)(i) [full_text]; 21 CFR 1271.90(c)(3)(i) [full_text]; 21 CFR 1271.90(a)(3)(ii) [full_text]. Query type GENERAL_REGULATORY_SEARCH; semantic fallback not invoked. Coverage evidence_complete=True.</t>
        </is>
      </c>
      <c r="O24" s="2" t="n">
        <v>23</v>
      </c>
      <c r="P24" s="2" t="inlineStr">
        <is>
          <t>73</t>
        </is>
      </c>
      <c r="Q24" s="2" t="inlineStr">
        <is>
          <t>Applicability</t>
        </is>
      </c>
      <c r="R24" s="2" t="inlineStr">
        <is>
          <t>Basic</t>
        </is>
      </c>
      <c r="S24" s="2" t="inlineStr">
        <is>
          <t>21 CFR 73.2725(a)-(e)</t>
        </is>
      </c>
      <c r="T24" s="2" t="n">
        <v>0</v>
      </c>
      <c r="U24" s="2" t="n">
        <v>1</v>
      </c>
      <c r="V24" s="2" t="n">
        <v>0</v>
      </c>
      <c r="W24" s="2" t="n">
        <v>0</v>
      </c>
      <c r="X24" s="2" t="n">
        <v>1</v>
      </c>
      <c r="Y24" s="2" t="inlineStr">
        <is>
          <t>Generated answer</t>
        </is>
      </c>
      <c r="Z24" s="2" t="inlineStr">
        <is>
          <t>initial valid [qualifier_dropped] -&gt; final valid</t>
        </is>
      </c>
      <c r="AA24" s="2" t="inlineStr">
        <is>
          <t>[4] = 21 CFR 1271.90(c)(3)(ii)(A); [5] = 21 CFR 1271.90(c)(3)(ii)</t>
        </is>
      </c>
      <c r="AB24" s="2" t="inlineStr">
        <is>
          <t>NOT EVALUATED</t>
        </is>
      </c>
      <c r="AC24" s="2" t="n"/>
      <c r="AD24" s="2" t="inlineStr">
        <is>
          <t>Cannot be verified: 4 statement(s) address the question but none could be verified against the retrieved evidence</t>
        </is>
      </c>
      <c r="AE24" s="3" t="n">
        <v>15.243</v>
      </c>
      <c r="AF24" s="3" t="n">
        <v>1.976</v>
      </c>
      <c r="AG24" s="3" t="n">
        <v>13.261</v>
      </c>
      <c r="AH24" s="3" t="n">
        <v>0.289</v>
      </c>
      <c r="AI24" s="2" t="inlineStr"/>
    </row>
    <row r="25">
      <c r="A25" s="2" t="inlineStr">
        <is>
          <t>COS-74.2052-Q1</t>
        </is>
      </c>
      <c r="B25" s="2" t="inlineStr">
        <is>
          <t>We're a color-cosmetics contract manufacturer. Can D&amp;C Black No. 2 go into our mascara, our lipstick and a tinted hair gel, and is there a use limit?</t>
        </is>
      </c>
      <c r="C25" s="2" t="inlineStr">
        <is>
          <t>§ 74.2052(c) permits it for coloring eyeliner, brush-on-brow products, eye shadow, mascara, lipstick, blushers and rouge, makeup and foundation, and nail enamel, in amounts consistent with current good manufacturing practice. Mascara and lipstick are listed; a hair gel is not. No numeric limit is set. All batches must be certified under part 80 (§ 74.2052(e)).</t>
        </is>
      </c>
      <c r="D25" s="2" t="inlineStr">
        <is>
          <t>The generated answer could not be validated against the retrieved regulatory evidence, so it is not shown. The retrieved sources were not verified to answer the question as asked, so their text is not quoted as an answer. Sources consulted: FDA Guidance: Cooperative Manufacturing Arrangements for Licensed Biologics: Guidance for Industry (final, 2008-11-28, Docket FDA-1999-D-0128), 21 CFR 74.2052(c), 21 CFR 720.4(c)(6)(ii), 21 CFR 74.2052(a).</t>
        </is>
      </c>
      <c r="E25" s="2" t="inlineStr">
        <is>
          <t>FAIL</t>
        </is>
      </c>
      <c r="F25" s="2" t="inlineStr">
        <is>
          <t>No answer delivered: the draft was withheld (condition not in cited source), although 74.2052(a) and (c) were in the retrieved evidence. The key's answer (mascara and lipstick listed, hair gel not; no numeric limit; batch certification under part 80) was not provided.</t>
        </is>
      </c>
      <c r="G25" s="3" t="n">
        <v>26.26</v>
      </c>
      <c r="H25" s="4" t="n">
        <v>1413</v>
      </c>
      <c r="I25" s="4" t="n">
        <v>149</v>
      </c>
      <c r="J25" s="2" t="inlineStr">
        <is>
          <t>Qwen/Qwen3-0.6B</t>
        </is>
      </c>
      <c r="K25" s="2" t="inlineStr">
        <is>
          <t>BAAI/bge-small-en-v1.5 (evaluator aligner; semantic retrieval not invoked)</t>
        </is>
      </c>
      <c r="L25" s="2" t="inlineStr">
        <is>
          <t>SUCCESS</t>
        </is>
      </c>
      <c r="M25" s="2" t="inlineStr"/>
      <c r="N25" s="2" t="inlineStr">
        <is>
          <t>Expected CFR section(s) 74.2052: all in evidence; none cited in answer. Evidence (5): FDA Guidance: Cooperative Manufacturing Arrangements for Licensed Biologics: Guidance for Industry (final, 200 [full_text_or]; FDA Guidance: Cooperative Manufacturing Arrangements for Licensed Biologics: Guidance for Industry (final, 200 [full_text_or]; 21 CFR 74.2052(c) [full_text_or]; 21 CFR 720.4(c)(6)(ii) [full_text_or]; 21 CFR 74.2052(a) [full_text_or]. Query type GENERAL_REGULATORY_SEARCH; semantic fallback not invoked. Coverage evidence_complete=True.</t>
        </is>
      </c>
      <c r="O25" s="2" t="n">
        <v>24</v>
      </c>
      <c r="P25" s="2" t="inlineStr">
        <is>
          <t>74</t>
        </is>
      </c>
      <c r="Q25" s="2" t="inlineStr">
        <is>
          <t>Applicability</t>
        </is>
      </c>
      <c r="R25" s="2" t="inlineStr">
        <is>
          <t>Basic</t>
        </is>
      </c>
      <c r="S25" s="2" t="inlineStr">
        <is>
          <t>21 CFR 74.2052(c), (e)</t>
        </is>
      </c>
      <c r="T25" s="2" t="n">
        <v>0</v>
      </c>
      <c r="U25" s="2" t="n">
        <v>0</v>
      </c>
      <c r="V25" s="2" t="n">
        <v>0</v>
      </c>
      <c r="W25" s="2" t="n">
        <v>0</v>
      </c>
      <c r="X25" s="2" t="n">
        <v>1</v>
      </c>
      <c r="Y25" s="2" t="inlineStr">
        <is>
          <t>Withheld by validator (no answer shown)</t>
        </is>
      </c>
      <c r="Z25" s="2" t="inlineStr">
        <is>
          <t>initial unsupported [condition_not_in_cited_source] -&gt; final unsupported; repair applied; fallback unvalidated_answer_withheld</t>
        </is>
      </c>
      <c r="AA25" s="2" t="inlineStr"/>
      <c r="AB25" s="2" t="inlineStr">
        <is>
          <t>FAIL</t>
        </is>
      </c>
      <c r="AC25" s="2" t="n">
        <v>0</v>
      </c>
      <c r="AD25" s="2" t="inlineStr">
        <is>
          <t>Incorrect refusal: the generated answer failed validation and was suppressed, so the question went unanswered - the suppression was right, the outcome is still no answer</t>
        </is>
      </c>
      <c r="AE25" s="3" t="n">
        <v>26.255</v>
      </c>
      <c r="AF25" s="3" t="n">
        <v>8.164999999999999</v>
      </c>
      <c r="AG25" s="3" t="n">
        <v>18.077</v>
      </c>
      <c r="AH25" s="3" t="n">
        <v>0.001</v>
      </c>
      <c r="AI25" s="2" t="inlineStr"/>
    </row>
    <row r="26">
      <c r="A26" s="2" t="inlineStr">
        <is>
          <t>COS-74.2203-Q1</t>
        </is>
      </c>
      <c r="B26" s="2" t="inlineStr">
        <is>
          <t>Our salon brand is launching a cream blush and a matching eye shadow, both colored with FD&amp;C Green No. 3. Is FD&amp;C Green No. 3 permitted in both, and does it need certification?</t>
        </is>
      </c>
      <c r="C26" s="2" t="inlineStr">
        <is>
          <t>§ 74.2203(b) permits FD&amp;C Green No. 3 for coloring cosmetics generally in amounts consistent with current good manufacturing practice, so the cream blush is covered. The section does not specifically provide for eye-area use, so under § 70.5(a) the eye shadow is not authorized. All batches must be certified under part 80 (§ 74.2203(d)); the color additive label must conform to § 70.25 (§ 74.2203(c)).</t>
        </is>
      </c>
      <c r="D26" s="2" t="inlineStr">
        <is>
          <t>The available regulatory sources do not provide enough information to answer this question. [4]</t>
        </is>
      </c>
      <c r="E26" s="2" t="inlineStr">
        <is>
          <t>FAIL</t>
        </is>
      </c>
      <c r="F26" s="2" t="inlineStr">
        <is>
          <t>Declined ('sources do not provide enough information'), citing 720.4(c)(3)(iii). Key: permitted in cosmetics generally (blush yes), not eye-area use under 70.5(a) (eye shadow no), batch certification required. Neither 74.2203 nor 70.5 was in the retrieved evidence.</t>
        </is>
      </c>
      <c r="G26" s="3" t="n">
        <v>6.485</v>
      </c>
      <c r="H26" s="4" t="n">
        <v>1457</v>
      </c>
      <c r="I26" s="4" t="n">
        <v>18</v>
      </c>
      <c r="J26" s="2" t="inlineStr">
        <is>
          <t>Qwen/Qwen3-0.6B</t>
        </is>
      </c>
      <c r="K26" s="2" t="inlineStr">
        <is>
          <t>BAAI/bge-small-en-v1.5 (evaluator aligner; semantic retrieval not invoked)</t>
        </is>
      </c>
      <c r="L26" s="2" t="inlineStr">
        <is>
          <t>SUCCESS</t>
        </is>
      </c>
      <c r="M26" s="2" t="inlineStr"/>
      <c r="N26" s="2" t="inlineStr">
        <is>
          <t>Expected CFR section(s) 70.5, 74.2203: none in evidence; none cited in answer. Evidence (4): FDA Guidance: Replacing Color Additives in Approved or Marketed Drug Products: Draft Guidance for Industry (dr [full_text_or]; FDA Guidance: CVM GFI #223 Small Entity Compliance Guide Declaring Color Additives in Animal Foods (final, 201 [full_text_or]; 21 CFR 161.190(a)(6)(v) [full_text_or]; 21 CFR 720.4(c)(3)(iii) [full_text_or]. Query type GENERAL_REGULATORY_SEARCH; semantic fallback not invoked. Coverage evidence_complete=True.</t>
        </is>
      </c>
      <c r="O26" s="2" t="n">
        <v>25</v>
      </c>
      <c r="P26" s="2" t="inlineStr">
        <is>
          <t>74</t>
        </is>
      </c>
      <c r="Q26" s="2" t="inlineStr">
        <is>
          <t>Applicability</t>
        </is>
      </c>
      <c r="R26" s="2" t="inlineStr">
        <is>
          <t>Intermediate</t>
        </is>
      </c>
      <c r="S26" s="2" t="inlineStr">
        <is>
          <t>21 CFR 74.2203(b), (c), (d); 21 CFR 70.5(a)</t>
        </is>
      </c>
      <c r="T26" s="2" t="n">
        <v>0</v>
      </c>
      <c r="U26" s="2" t="n">
        <v>0</v>
      </c>
      <c r="V26" s="2" t="n">
        <v>0</v>
      </c>
      <c r="W26" s="2" t="n">
        <v>0</v>
      </c>
      <c r="X26" s="2" t="n">
        <v>1</v>
      </c>
      <c r="Y26" s="2" t="inlineStr">
        <is>
          <t>Generated answer</t>
        </is>
      </c>
      <c r="Z26" s="2" t="inlineStr">
        <is>
          <t>initial valid -&gt; final valid</t>
        </is>
      </c>
      <c r="AA26" s="2" t="inlineStr">
        <is>
          <t>[4] = 21 CFR 720.4(c)(3)(iii)</t>
        </is>
      </c>
      <c r="AB26" s="2" t="inlineStr">
        <is>
          <t>NOT EVALUATED</t>
        </is>
      </c>
      <c r="AC26" s="2" t="n"/>
      <c r="AD26" s="2" t="inlineStr">
        <is>
          <t>Cannot be verified: the answer declines, and neither the pipeline state nor the retrieved evidence establishes whether the question could have been answered</t>
        </is>
      </c>
      <c r="AE26" s="3" t="n">
        <v>6.48</v>
      </c>
      <c r="AF26" s="3" t="n">
        <v>2.853</v>
      </c>
      <c r="AG26" s="3" t="n">
        <v>3.617</v>
      </c>
      <c r="AH26" s="3" t="n">
        <v>0.003</v>
      </c>
      <c r="AI26" s="2" t="inlineStr"/>
    </row>
    <row r="27">
      <c r="A27" s="2" t="inlineStr">
        <is>
          <t>COS-74.2208-Q1</t>
        </is>
      </c>
      <c r="B27" s="2" t="inlineStr">
        <is>
          <t>We're an in-house R&amp;D lab formulating a tinted body scrub. Our supplier offers D&amp;C Green No. 8. Can we use it, is there a use limit, and does the color need FDA certification?</t>
        </is>
      </c>
      <c r="C27" s="2" t="inlineStr">
        <is>
          <t>Yes. § 74.2208(b) permits D&amp;C Green No. 8 for coloring externally applied cosmetics in amounts not exceeding 0.01 percent by weight of the finished cosmetic product. A body scrub is applied only to external body parts, not lips or mucous membrane (§ 70.3(v)). All batches must be certified under part 80 (§ 74.2208(d)); the color additive label must conform to § 70.25 (§ 74.2208(c)).</t>
        </is>
      </c>
      <c r="D27" s="2" t="inlineStr">
        <is>
          <t>The FDA requires that in-house R&amp;D labs using D&amp;C Green No. 8 for tinted body scrub must apply supply-chain controls, and the supplier must be verified. The use of D&amp;C Green No. 8 is limited under section 520(e) of the act to physicians and other persons authorized by applicable State law. The color D&amp;C Green No. 8 requires FDA certification. [1][4]</t>
        </is>
      </c>
      <c r="E27" s="2" t="inlineStr">
        <is>
          <t>FAIL</t>
        </is>
      </c>
      <c r="F27" s="2" t="inlineStr">
        <is>
          <t>Wrong. Invents a restriction - use 'limited under section 520(e) of the act to physicians' (a restricted-device provision) - and supply-chain controls from animal-food guidance; omits the 0.01% by-weight limit and the external-use condition. Only the statement that certification is required matches the key. Cites an animal-food guidance and 21 CFR 1271.210(c). 74.2208 was not in the retrieved evidence. Fabricated = 1 (bank Instructions rule 3, invented requirement): Invented restriction: use 'limited under section 520(e) of the act to physicians'.</t>
        </is>
      </c>
      <c r="G27" s="3" t="n">
        <v>14.862</v>
      </c>
      <c r="H27" s="4" t="n">
        <v>1437</v>
      </c>
      <c r="I27" s="4" t="n">
        <v>90</v>
      </c>
      <c r="J27" s="2" t="inlineStr">
        <is>
          <t>Qwen/Qwen3-0.6B</t>
        </is>
      </c>
      <c r="K27" s="2" t="inlineStr">
        <is>
          <t>BAAI/bge-small-en-v1.5 (evaluator aligner; semantic retrieval not invoked)</t>
        </is>
      </c>
      <c r="L27" s="2" t="inlineStr">
        <is>
          <t>SUCCESS</t>
        </is>
      </c>
      <c r="M27" s="2" t="inlineStr"/>
      <c r="N27" s="2" t="inlineStr">
        <is>
          <t>Expected CFR section(s) 70.3, 74.2208: none in evidence; none cited in answer. Evidence (4): FDA Guidance: CVM GFI #246 Hazard Analysis and Risk-Based Preventive Controls for Food for Animals: Supply-Cha [full_text_or]; FDA Guidance: Draft Guidance for Industry: Hazard Analysis and Risk-Based Preventive Controls for Human Food ( [full_text_or]; 21 CFR 809.30(f) [full_text_or]; 21 CFR 1271.210(c) [full_text_or]. Query type GENERAL_REGULATORY_SEARCH; semantic fallback not invoked. Coverage evidence_complete=True.</t>
        </is>
      </c>
      <c r="O27" s="2" t="n">
        <v>26</v>
      </c>
      <c r="P27" s="2" t="inlineStr">
        <is>
          <t>74</t>
        </is>
      </c>
      <c r="Q27" s="2" t="inlineStr">
        <is>
          <t>Applicability</t>
        </is>
      </c>
      <c r="R27" s="2" t="inlineStr">
        <is>
          <t>Basic</t>
        </is>
      </c>
      <c r="S27" s="2" t="inlineStr">
        <is>
          <t>21 CFR 74.2208(b), (c), (d); 21 CFR 70.3(v)</t>
        </is>
      </c>
      <c r="T27" s="2" t="n">
        <v>0</v>
      </c>
      <c r="U27" s="2" t="n">
        <v>1</v>
      </c>
      <c r="V27" s="2" t="n">
        <v>0</v>
      </c>
      <c r="W27" s="2" t="n">
        <v>0</v>
      </c>
      <c r="X27" s="2" t="n">
        <v>1</v>
      </c>
      <c r="Y27" s="2" t="inlineStr">
        <is>
          <t>Generated answer</t>
        </is>
      </c>
      <c r="Z27" s="2" t="inlineStr">
        <is>
          <t>initial citation_invalid [invalid_citation] -&gt; final valid; repair applied</t>
        </is>
      </c>
      <c r="AA27" s="2" t="inlineStr">
        <is>
          <t>[1] = FDA Guidance: CVM GFI #246 Hazard Analysis and Risk-Based Preventive Controls for Food for Animals: Supply-Chain Program (draft, 2018-06-15, Docket FDA-2018-D-1861); [4] = 21 CFR 1271.210(c)</t>
        </is>
      </c>
      <c r="AB27" s="2" t="inlineStr">
        <is>
          <t>FAIL</t>
        </is>
      </c>
      <c r="AC27" s="2" t="n">
        <v>0</v>
      </c>
      <c r="AD27" s="2" t="inlineStr">
        <is>
          <t>Partially correct: 1 statement(s) could not be verified; 2 statement(s) only partly address the question - e.g. the regulation it corresponds to (FDA Guidance: CVM GFI #246 Hazard Analysis and Risk-Based Preventive Controls for Food for Animals: Supply-Chain Program (draft, 2018-06-15, Docket FDA-2018-D-1861), FDA Guidance: Draft Guidance for Industry: Hazard Analysis and Risk-Based Preventive Co…</t>
        </is>
      </c>
      <c r="AE27" s="3" t="n">
        <v>14.518</v>
      </c>
      <c r="AF27" s="3" t="n">
        <v>3.342</v>
      </c>
      <c r="AG27" s="3" t="n">
        <v>11.165</v>
      </c>
      <c r="AH27" s="3" t="n">
        <v>0.337</v>
      </c>
      <c r="AI27" s="2" t="inlineStr"/>
    </row>
    <row r="28">
      <c r="A28" s="2" t="inlineStr">
        <is>
          <t>COS-74.2254-Q1</t>
        </is>
      </c>
      <c r="B28" s="2" t="inlineStr">
        <is>
          <t>We're a small skincare brand formulating a tinted body butter. Our supplier offers D&amp;C Orange No. 4. Can we use it, is there a use limit, and does the color need FDA certification?</t>
        </is>
      </c>
      <c r="C28" s="2" t="inlineStr">
        <is>
          <t>Yes. § 74.2254(b) permits D&amp;C Orange No. 4 for coloring externally applied cosmetics in amounts consistent with good manufacturing practice; no numeric limit is set. A body butter is applied only to external body parts, not lips or mucous membrane (§ 70.3(v)). All batches must be certified under part 80 (§ 74.2254(d)); the color additive label must conform to § 70.25 (§ 74.2254(c)).</t>
        </is>
      </c>
      <c r="D28" s="2" t="inlineStr">
        <is>
          <t>The generated answer could not be validated against the retrieved regulatory evidence, so it is not shown. The retrieved sources were not verified to answer the question as asked, so their text is not quoted as an answer. Sources consulted: FDA Guidance: CVM GFI #246 Hazard Analysis and Risk-Based Preventive Controls for Food for Animals: Supply-Chain Program (draft, 2018-06-15, Docket FDA-2018-D-1861), FDA Guidance: Draft Guidance for Industry: Hazard Analysis and Risk-Based Preventive Controls for Human Food (draft, 2024-01-30, Docket FDA-2016-D-2343), 21 CFR 101.22(i)(4).</t>
        </is>
      </c>
      <c r="E28" s="2" t="inlineStr">
        <is>
          <t>FAIL</t>
        </is>
      </c>
      <c r="F28" s="2" t="inlineStr">
        <is>
          <t>No answer delivered: draft withheld (unsupported claim). 74.2254 and 70.3(v) were not in the retrieved evidence (animal/human-food preventive-controls guidance and 101.22(i)(4)), so the key's answer (permitted in externally applied cosmetics, GMP amounts, batch certification under part 80) was not provided.</t>
        </is>
      </c>
      <c r="G28" s="3" t="n">
        <v>15.923</v>
      </c>
      <c r="H28" s="4" t="n">
        <v>1379</v>
      </c>
      <c r="I28" s="4" t="n">
        <v>100</v>
      </c>
      <c r="J28" s="2" t="inlineStr">
        <is>
          <t>Qwen/Qwen3-0.6B</t>
        </is>
      </c>
      <c r="K28" s="2" t="inlineStr">
        <is>
          <t>BAAI/bge-small-en-v1.5 (evaluator aligner; semantic retrieval not invoked)</t>
        </is>
      </c>
      <c r="L28" s="2" t="inlineStr">
        <is>
          <t>SUCCESS</t>
        </is>
      </c>
      <c r="M28" s="2" t="inlineStr"/>
      <c r="N28" s="2" t="inlineStr">
        <is>
          <t>Expected CFR section(s) 70.3, 74.2254: none in evidence; none cited in answer. Evidence (3): FDA Guidance: CVM GFI #246 Hazard Analysis and Risk-Based Preventive Controls for Food for Animals: Supply-Cha [full_text_or]; FDA Guidance: Draft Guidance for Industry: Hazard Analysis and Risk-Based Preventive Controls for Human Food ( [full_text_or]; 21 CFR 101.22(i)(4) [full_text_or]. Query type GENERAL_REGULATORY_SEARCH; semantic fallback not invoked. Coverage evidence_complete=True.</t>
        </is>
      </c>
      <c r="O28" s="2" t="n">
        <v>27</v>
      </c>
      <c r="P28" s="2" t="inlineStr">
        <is>
          <t>74</t>
        </is>
      </c>
      <c r="Q28" s="2" t="inlineStr">
        <is>
          <t>Applicability</t>
        </is>
      </c>
      <c r="R28" s="2" t="inlineStr">
        <is>
          <t>Basic</t>
        </is>
      </c>
      <c r="S28" s="2" t="inlineStr">
        <is>
          <t>21 CFR 74.2254(b), (c), (d); 21 CFR 70.3(v)</t>
        </is>
      </c>
      <c r="T28" s="2" t="n">
        <v>0</v>
      </c>
      <c r="U28" s="2" t="n">
        <v>0</v>
      </c>
      <c r="V28" s="2" t="n">
        <v>0</v>
      </c>
      <c r="W28" s="2" t="n">
        <v>0</v>
      </c>
      <c r="X28" s="2" t="n">
        <v>1</v>
      </c>
      <c r="Y28" s="2" t="inlineStr">
        <is>
          <t>Withheld by validator (no answer shown)</t>
        </is>
      </c>
      <c r="Z28" s="2" t="inlineStr">
        <is>
          <t>initial unsupported [unsupported_claim] -&gt; final unsupported; repair applied; fallback unvalidated_answer_withheld</t>
        </is>
      </c>
      <c r="AA28" s="2" t="inlineStr"/>
      <c r="AB28" s="2" t="inlineStr">
        <is>
          <t>FAIL</t>
        </is>
      </c>
      <c r="AC28" s="2" t="n">
        <v>0</v>
      </c>
      <c r="AD28" s="2" t="inlineStr">
        <is>
          <t>Incorrect refusal: the generated answer failed validation and was suppressed, so the question went unanswered - the suppression was right, the outcome is still no answer</t>
        </is>
      </c>
      <c r="AE28" s="3" t="n">
        <v>15.917</v>
      </c>
      <c r="AF28" s="3" t="n">
        <v>5.721</v>
      </c>
      <c r="AG28" s="3" t="n">
        <v>10.185</v>
      </c>
      <c r="AH28" s="3" t="n">
        <v>0.001</v>
      </c>
      <c r="AI28" s="2" t="inlineStr"/>
    </row>
    <row r="29">
      <c r="A29" s="2" t="inlineStr">
        <is>
          <t>COS-74.2304-Q1</t>
        </is>
      </c>
      <c r="B29" s="2" t="inlineStr">
        <is>
          <t>We're a private-label manufacturer formulating a tinted nail enamel. Our supplier offers FD&amp;C Red No. 4. Can we use it, is there a use limit, and does the color need FDA certification?</t>
        </is>
      </c>
      <c r="C29" s="2" t="inlineStr">
        <is>
          <t>Yes. § 74.2304(b) permits FD&amp;C Red No. 4 for coloring externally applied cosmetics in amounts consistent with good manufacturing practice; no numeric limit is set. A nail enamel is applied only to external body parts, not lips or mucous membrane (§ 70.3(v)). All batches must be certified under part 80 (§ 74.2304(d)); the color additive label must conform to § 70.25 (§ 74.2304(c)).</t>
        </is>
      </c>
      <c r="D29" s="2" t="inlineStr">
        <is>
          <t>The available regulatory sources do not provide enough information to answer this question. [4]</t>
        </is>
      </c>
      <c r="E29" s="2" t="inlineStr">
        <is>
          <t>FAIL</t>
        </is>
      </c>
      <c r="F29" s="2" t="inlineStr">
        <is>
          <t>Declined ('sources do not provide enough information'), citing 74.2052(c). 74.2304 was not in the retrieved evidence, so the key's answer (permitted in externally applied cosmetics incl. nail enamel, no numeric limit, batch certification) was not provided.</t>
        </is>
      </c>
      <c r="G29" s="3" t="n">
        <v>8.930999999999999</v>
      </c>
      <c r="H29" s="4" t="n">
        <v>1205</v>
      </c>
      <c r="I29" s="4" t="n">
        <v>18</v>
      </c>
      <c r="J29" s="2" t="inlineStr">
        <is>
          <t>Qwen/Qwen3-0.6B</t>
        </is>
      </c>
      <c r="K29" s="2" t="inlineStr">
        <is>
          <t>BAAI/bge-small-en-v1.5 (evaluator aligner; semantic retrieval not invoked)</t>
        </is>
      </c>
      <c r="L29" s="2" t="inlineStr">
        <is>
          <t>SUCCESS</t>
        </is>
      </c>
      <c r="M29" s="2" t="inlineStr"/>
      <c r="N29" s="2" t="inlineStr">
        <is>
          <t>Expected CFR section(s) 70.3, 74.2304: none in evidence; none cited in answer. Evidence (4): FDA Guidance: Guidance for Industry: Supply-Chain Program Requirements and Co-Manufacturer Supplier Approval a [full_text_or]; 21 CFR 720.4(c)(8)(v) [full_text_or]; 21 CFR 720.4(c)(8)(vi) [full_text_or]; 21 CFR 74.2052(c) [full_text_or]. Query type GENERAL_REGULATORY_SEARCH; semantic fallback not invoked. Coverage evidence_complete=True.</t>
        </is>
      </c>
      <c r="O29" s="2" t="n">
        <v>28</v>
      </c>
      <c r="P29" s="2" t="inlineStr">
        <is>
          <t>74</t>
        </is>
      </c>
      <c r="Q29" s="2" t="inlineStr">
        <is>
          <t>Applicability</t>
        </is>
      </c>
      <c r="R29" s="2" t="inlineStr">
        <is>
          <t>Basic</t>
        </is>
      </c>
      <c r="S29" s="2" t="inlineStr">
        <is>
          <t>21 CFR 74.2304(b), (c), (d); 21 CFR 70.3(v)</t>
        </is>
      </c>
      <c r="T29" s="2" t="n">
        <v>0</v>
      </c>
      <c r="U29" s="2" t="n">
        <v>0</v>
      </c>
      <c r="V29" s="2" t="n">
        <v>0</v>
      </c>
      <c r="W29" s="2" t="n">
        <v>0</v>
      </c>
      <c r="X29" s="2" t="n">
        <v>1</v>
      </c>
      <c r="Y29" s="2" t="inlineStr">
        <is>
          <t>Generated answer</t>
        </is>
      </c>
      <c r="Z29" s="2" t="inlineStr">
        <is>
          <t>initial valid -&gt; final valid</t>
        </is>
      </c>
      <c r="AA29" s="2" t="inlineStr">
        <is>
          <t>[4] = 21 CFR 74.2052(c)</t>
        </is>
      </c>
      <c r="AB29" s="2" t="inlineStr">
        <is>
          <t>NOT EVALUATED</t>
        </is>
      </c>
      <c r="AC29" s="2" t="n"/>
      <c r="AD29" s="2" t="inlineStr">
        <is>
          <t>Cannot be verified: the answer declines, and neither the pipeline state nor the retrieved evidence establishes whether the question could have been answered</t>
        </is>
      </c>
      <c r="AE29" s="3" t="n">
        <v>8.926</v>
      </c>
      <c r="AF29" s="3" t="n">
        <v>4.682</v>
      </c>
      <c r="AG29" s="3" t="n">
        <v>4.234</v>
      </c>
      <c r="AH29" s="3" t="n">
        <v>0.002</v>
      </c>
      <c r="AI29" s="2" t="inlineStr"/>
    </row>
    <row r="30">
      <c r="A30" s="2" t="inlineStr">
        <is>
          <t>COS-74.2317-Q1</t>
        </is>
      </c>
      <c r="B30" s="2" t="inlineStr">
        <is>
          <t>We're a 12-person contract filler formulating a tinted body butter. Our supplier offers D&amp;C Red No. 17. Can we use it, is there a use limit, and does the color need FDA certification?</t>
        </is>
      </c>
      <c r="C30" s="2" t="inlineStr">
        <is>
          <t>Yes. § 74.2317(b) permits D&amp;C Red No. 17 for coloring externally applied cosmetics in amounts consistent with good manufacturing practice; no numeric limit is set. A body butter is applied only to external body parts, not lips or mucous membrane (§ 70.3(v)). All batches must be certified under part 80 (§ 74.2317(d)); the color additive label must conform to § 70.25 (§ 74.2317(c)).</t>
        </is>
      </c>
      <c r="D30" s="2" t="inlineStr">
        <is>
          <t>The generated answer could not be validated against the retrieved regulatory evidence, so it is not shown. The retrieved sources were not verified to answer the question as asked, so their text is not quoted as an answer. Sources consulted: FDA Guidance: CVM GFI #246 Hazard Analysis and Risk-Based Preventive Controls for Food for Animals: Supply-Chain Program (draft, 2018-06-15, Docket FDA-2018-D-1861), 21 CFR 170.3(o)(14), 21 CFR 170.3(n)(12).</t>
        </is>
      </c>
      <c r="E30" s="2" t="inlineStr">
        <is>
          <t>FAIL</t>
        </is>
      </c>
      <c r="F30" s="2" t="inlineStr">
        <is>
          <t>No answer delivered: draft withheld (unsupported figure/claim). 74.2317 was not in the retrieved evidence (animal-food guidance, 170.3), so the key's answer was not provided.</t>
        </is>
      </c>
      <c r="G30" s="3" t="n">
        <v>19.719</v>
      </c>
      <c r="H30" s="4" t="n">
        <v>1439</v>
      </c>
      <c r="I30" s="4" t="n">
        <v>112</v>
      </c>
      <c r="J30" s="2" t="inlineStr">
        <is>
          <t>Qwen/Qwen3-0.6B</t>
        </is>
      </c>
      <c r="K30" s="2" t="inlineStr">
        <is>
          <t>BAAI/bge-small-en-v1.5 (evaluator aligner; semantic retrieval not invoked)</t>
        </is>
      </c>
      <c r="L30" s="2" t="inlineStr">
        <is>
          <t>SUCCESS</t>
        </is>
      </c>
      <c r="M30" s="2" t="inlineStr"/>
      <c r="N30" s="2" t="inlineStr">
        <is>
          <t>Expected CFR section(s) 70.3, 74.2317: none in evidence; none cited in answer. Evidence (4): FDA Guidance: CVM GFI #246 Hazard Analysis and Risk-Based Preventive Controls for Food for Animals: Supply-Cha [full_text_or]; FDA Guidance: CVM GFI #246 Hazard Analysis and Risk-Based Preventive Controls for Food for Animals: Supply-Cha [full_text_or]; 21 CFR 170.3(o)(14) [full_text_or]; 21 CFR 170.3(n)(12) [full_text_or]. Query type GENERAL_REGULATORY_SEARCH; semantic fallback not invoked. Coverage evidence_complete=True.</t>
        </is>
      </c>
      <c r="O30" s="2" t="n">
        <v>29</v>
      </c>
      <c r="P30" s="2" t="inlineStr">
        <is>
          <t>74</t>
        </is>
      </c>
      <c r="Q30" s="2" t="inlineStr">
        <is>
          <t>Applicability</t>
        </is>
      </c>
      <c r="R30" s="2" t="inlineStr">
        <is>
          <t>Basic</t>
        </is>
      </c>
      <c r="S30" s="2" t="inlineStr">
        <is>
          <t>21 CFR 74.2317(b), (c), (d); 21 CFR 70.3(v)</t>
        </is>
      </c>
      <c r="T30" s="2" t="n">
        <v>0</v>
      </c>
      <c r="U30" s="2" t="n">
        <v>0</v>
      </c>
      <c r="V30" s="2" t="n">
        <v>0</v>
      </c>
      <c r="W30" s="2" t="n">
        <v>0</v>
      </c>
      <c r="X30" s="2" t="n">
        <v>1</v>
      </c>
      <c r="Y30" s="2" t="inlineStr">
        <is>
          <t>Withheld by validator (no answer shown)</t>
        </is>
      </c>
      <c r="Z30" s="2" t="inlineStr">
        <is>
          <t>initial unsupported [unsupported_figure, unsupported_claim] -&gt; final valid; repair applied; fallback unvalidated_answer_withheld</t>
        </is>
      </c>
      <c r="AA30" s="2" t="inlineStr"/>
      <c r="AB30" s="2" t="inlineStr">
        <is>
          <t>FAIL</t>
        </is>
      </c>
      <c r="AC30" s="2" t="n">
        <v>0</v>
      </c>
      <c r="AD30" s="2" t="inlineStr">
        <is>
          <t>Incorrect refusal: the generated answer failed validation and was suppressed, so the question went unanswered - the suppression was right, the outcome is still no answer</t>
        </is>
      </c>
      <c r="AE30" s="3" t="n">
        <v>19.697</v>
      </c>
      <c r="AF30" s="3" t="n">
        <v>4.746</v>
      </c>
      <c r="AG30" s="3" t="n">
        <v>14.936</v>
      </c>
      <c r="AH30" s="3" t="n">
        <v>0.002</v>
      </c>
      <c r="AI30" s="2" t="inlineStr"/>
    </row>
    <row r="31">
      <c r="A31" s="2" t="inlineStr">
        <is>
          <t>COS-74.2322-Q1</t>
        </is>
      </c>
      <c r="B31" s="2" t="inlineStr">
        <is>
          <t>Our small color-cosmetics brand is launching a lip gloss and a matching mascara, both colored with D&amp;C Red No. 22. Is D&amp;C Red No. 22 permitted in both, and does it need certification?</t>
        </is>
      </c>
      <c r="C31" s="2" t="inlineStr">
        <is>
          <t>§ 74.2322(b) permits D&amp;C Red No. 22 for coloring cosmetics generally in amounts consistent with current good manufacturing practice, so the lip gloss is covered. The section does not specifically provide for eye-area use, so under § 70.5(a) the mascara is not authorized. All batches must be certified under part 80 (§ 74.2322(d)); the color additive label must conform to § 70.25 (§ 74.2322(c)).</t>
        </is>
      </c>
      <c r="D31" s="2" t="inlineStr">
        <is>
          <t>The available regulatory sources do not provide enough information to answer this question. [1]</t>
        </is>
      </c>
      <c r="E31" s="2" t="inlineStr">
        <is>
          <t>FAIL</t>
        </is>
      </c>
      <c r="F31" s="2" t="inlineStr">
        <is>
          <t>Declined, citing an animal-food color guidance. Key: lip gloss permitted (cosmetics generally), mascara not authorized under 70.5(a), batch certification required. Neither 74.2322 nor 70.5 was in the retrieved evidence.</t>
        </is>
      </c>
      <c r="G31" s="3" t="n">
        <v>20.996</v>
      </c>
      <c r="H31" s="4" t="n">
        <v>1436</v>
      </c>
      <c r="I31" s="4" t="n">
        <v>18</v>
      </c>
      <c r="J31" s="2" t="inlineStr">
        <is>
          <t>Qwen/Qwen3-0.6B</t>
        </is>
      </c>
      <c r="K31" s="2" t="inlineStr">
        <is>
          <t>BAAI/bge-small-en-v1.5 (evaluator aligner; semantic retrieval not invoked)</t>
        </is>
      </c>
      <c r="L31" s="2" t="inlineStr">
        <is>
          <t>SUCCESS</t>
        </is>
      </c>
      <c r="M31" s="2" t="inlineStr"/>
      <c r="N31" s="2" t="inlineStr">
        <is>
          <t>Expected CFR section(s) 70.5, 74.2322: none in evidence; none cited in answer. Evidence (3): FDA Guidance: CVM GFI #223 Small Entity Compliance Guide Declaring Color Additives in Animal Foods (final, 201 [full_text_or]; FDA Guidance: CVM GFI #223 Small Entity Compliance Guide Declaring Color Additives in Animal Foods (final, 201 [full_text_or]; 21 CFR 81.30(s)(3) [full_text_or]. Query type GENERAL_REGULATORY_SEARCH; semantic fallback not invoked. Coverage evidence_complete=True.</t>
        </is>
      </c>
      <c r="O31" s="2" t="n">
        <v>30</v>
      </c>
      <c r="P31" s="2" t="inlineStr">
        <is>
          <t>74</t>
        </is>
      </c>
      <c r="Q31" s="2" t="inlineStr">
        <is>
          <t>Applicability</t>
        </is>
      </c>
      <c r="R31" s="2" t="inlineStr">
        <is>
          <t>Intermediate</t>
        </is>
      </c>
      <c r="S31" s="2" t="inlineStr">
        <is>
          <t>21 CFR 74.2322(b), (c), (d); 21 CFR 70.5(a)</t>
        </is>
      </c>
      <c r="T31" s="2" t="n">
        <v>0</v>
      </c>
      <c r="U31" s="2" t="n">
        <v>0</v>
      </c>
      <c r="V31" s="2" t="n">
        <v>0</v>
      </c>
      <c r="W31" s="2" t="n">
        <v>0</v>
      </c>
      <c r="X31" s="2" t="n">
        <v>1</v>
      </c>
      <c r="Y31" s="2" t="inlineStr">
        <is>
          <t>Generated answer</t>
        </is>
      </c>
      <c r="Z31" s="2" t="inlineStr">
        <is>
          <t>initial valid -&gt; final valid</t>
        </is>
      </c>
      <c r="AA31" s="2" t="inlineStr">
        <is>
          <t>[1] = FDA Guidance: CVM GFI #223 Small Entity Compliance Guide Declaring Color Additives in Animal Foods (final, 2013-09-27, Docket FDA-2013-D-1088)</t>
        </is>
      </c>
      <c r="AB31" s="2" t="inlineStr">
        <is>
          <t>NOT EVALUATED</t>
        </is>
      </c>
      <c r="AC31" s="2" t="n"/>
      <c r="AD31" s="2" t="inlineStr">
        <is>
          <t>Cannot be verified: the answer declines, and neither the pipeline state nor the retrieved evidence establishes whether the question could have been answered</t>
        </is>
      </c>
      <c r="AE31" s="3" t="n">
        <v>20.987</v>
      </c>
      <c r="AF31" s="3" t="n">
        <v>13.456</v>
      </c>
      <c r="AG31" s="3" t="n">
        <v>7.517</v>
      </c>
      <c r="AH31" s="3" t="n">
        <v>0.002</v>
      </c>
      <c r="AI31" s="2" t="inlineStr"/>
    </row>
    <row r="32">
      <c r="A32" s="2" t="inlineStr">
        <is>
          <t>COS-74.2327-Q1</t>
        </is>
      </c>
      <c r="B32" s="2" t="inlineStr">
        <is>
          <t>Our 12-person contract filler is launching a cream blush and a matching eye shadow, both colored with D&amp;C Red No. 27. Is D&amp;C Red No. 27 permitted in both, and does it need certification?</t>
        </is>
      </c>
      <c r="C32" s="2" t="inlineStr">
        <is>
          <t>§ 74.2327(b) permits D&amp;C Red No. 27 for coloring cosmetics generally in amounts consistent with current good manufacturing practice, so the cream blush is covered. The section does not specifically provide for eye-area use, so under § 70.5(a) the eye shadow is not authorized. All batches must be certified under part 80 (§ 74.2327(d)); the color additive label must conform to § 70.25 (§ 74.2327(c)).</t>
        </is>
      </c>
      <c r="D32" s="2" t="inlineStr">
        <is>
          <t>The available regulatory sources do not provide enough information to answer this question. [4]</t>
        </is>
      </c>
      <c r="E32" s="2" t="inlineStr">
        <is>
          <t>FAIL</t>
        </is>
      </c>
      <c r="F32" s="2" t="inlineStr">
        <is>
          <t>Declined, citing 74.2052(c). Key: blush permitted, eye shadow not authorized under 70.5(a), batch certification required. Neither 74.2327 nor 70.5 was in the retrieved evidence.</t>
        </is>
      </c>
      <c r="G32" s="3" t="n">
        <v>8.333</v>
      </c>
      <c r="H32" s="4" t="n">
        <v>1464</v>
      </c>
      <c r="I32" s="4" t="n">
        <v>18</v>
      </c>
      <c r="J32" s="2" t="inlineStr">
        <is>
          <t>Qwen/Qwen3-0.6B</t>
        </is>
      </c>
      <c r="K32" s="2" t="inlineStr">
        <is>
          <t>BAAI/bge-small-en-v1.5 (evaluator aligner; semantic retrieval not invoked)</t>
        </is>
      </c>
      <c r="L32" s="2" t="inlineStr">
        <is>
          <t>SUCCESS</t>
        </is>
      </c>
      <c r="M32" s="2" t="inlineStr"/>
      <c r="N32" s="2" t="inlineStr">
        <is>
          <t>Expected CFR section(s) 70.5, 74.2327: none in evidence; none cited in answer. Evidence (4): FDA Guidance: Replacing Color Additives in Approved or Marketed Drug Products: Draft Guidance for Industry (dr [full_text_or]; FDA Guidance: CVM GFI #223 Small Entity Compliance Guide Declaring Color Additives in Animal Foods (final, 201 [full_text_or]; 21 CFR 161.190(a)(6)(v) [full_text_or]; 21 CFR 74.2052(c) [full_text_or]. Query type GENERAL_REGULATORY_SEARCH; semantic fallback not invoked. Coverage evidence_complete=True.</t>
        </is>
      </c>
      <c r="O32" s="2" t="n">
        <v>31</v>
      </c>
      <c r="P32" s="2" t="inlineStr">
        <is>
          <t>74</t>
        </is>
      </c>
      <c r="Q32" s="2" t="inlineStr">
        <is>
          <t>Applicability</t>
        </is>
      </c>
      <c r="R32" s="2" t="inlineStr">
        <is>
          <t>Intermediate</t>
        </is>
      </c>
      <c r="S32" s="2" t="inlineStr">
        <is>
          <t>21 CFR 74.2327(b), (c), (d); 21 CFR 70.5(a)</t>
        </is>
      </c>
      <c r="T32" s="2" t="n">
        <v>0</v>
      </c>
      <c r="U32" s="2" t="n">
        <v>0</v>
      </c>
      <c r="V32" s="2" t="n">
        <v>0</v>
      </c>
      <c r="W32" s="2" t="n">
        <v>0</v>
      </c>
      <c r="X32" s="2" t="n">
        <v>1</v>
      </c>
      <c r="Y32" s="2" t="inlineStr">
        <is>
          <t>Generated answer</t>
        </is>
      </c>
      <c r="Z32" s="2" t="inlineStr">
        <is>
          <t>initial valid -&gt; final valid</t>
        </is>
      </c>
      <c r="AA32" s="2" t="inlineStr">
        <is>
          <t>[4] = 21 CFR 74.2052(c)</t>
        </is>
      </c>
      <c r="AB32" s="2" t="inlineStr">
        <is>
          <t>NOT EVALUATED</t>
        </is>
      </c>
      <c r="AC32" s="2" t="n"/>
      <c r="AD32" s="2" t="inlineStr">
        <is>
          <t>Cannot be verified: the answer declines, and neither the pipeline state nor the retrieved evidence establishes whether the question could have been answered</t>
        </is>
      </c>
      <c r="AE32" s="3" t="n">
        <v>8.327</v>
      </c>
      <c r="AF32" s="3" t="n">
        <v>4.442</v>
      </c>
      <c r="AG32" s="3" t="n">
        <v>3.873</v>
      </c>
      <c r="AH32" s="3" t="n">
        <v>0.002</v>
      </c>
      <c r="AI32" s="2" t="inlineStr"/>
    </row>
    <row r="33">
      <c r="A33" s="2" t="inlineStr">
        <is>
          <t>COS-74.2340-Q1</t>
        </is>
      </c>
      <c r="B33" s="2" t="inlineStr">
        <is>
          <t>We plan an eye shadow using FD&amp;C Red No. 40 Calcium Lake and a lip gloss using the straight color. Are both permitted?</t>
        </is>
      </c>
      <c r="C33" s="2" t="inlineStr">
        <is>
          <t>§ 74.2340(b): FD&amp;C Red No. 40 may be used for coloring cosmetics generally, except that only FD&amp;C Red No. 40 and FD&amp;C Red No. 40 Aluminum Lake may be used in cosmetics intended for the eye area. The calcium-lake eye shadow is not permitted; the lip gloss is, in amounts consistent with current good manufacturing practice ((b)(1)). All batches must be certified under part 80 ((d)).</t>
        </is>
      </c>
      <c r="D33" s="2" t="inlineStr">
        <is>
          <t>The generated answer could not be validated against the retrieved regulatory evidence, so it is not shown. The retrieved sources were not verified to answer the question as asked, so their text is not quoted as an answer. Sources consulted: FDA Guidance: Replacing Color Additives in Approved or Marketed Drug Products: Draft Guidance for Industry (draft, 2025-05-29, Docket FDA-2025-D-0507), FDA Guidance: CVM GFI #223 Small Entity Compliance Guide Declaring Color Additives in Animal Foods (final, 2013-09-27, Docket FDA-2013-D-1088), 21 CFR 82.2051(a)(1), 21 CFR 82.1051(b).</t>
        </is>
      </c>
      <c r="E33" s="2" t="inlineStr">
        <is>
          <t>FAIL</t>
        </is>
      </c>
      <c r="F33" s="2" t="inlineStr">
        <is>
          <t>No answer delivered: draft withheld (unsupported figure, invented condition). 74.2340 was not in the retrieved evidence (82.2051, 82.1051 and two guidance documents), so the key's answer (calcium-lake eye shadow not permitted; straight-color lip gloss permitted; certification) was not provided.</t>
        </is>
      </c>
      <c r="G33" s="3" t="n">
        <v>10.812</v>
      </c>
      <c r="H33" s="4" t="n">
        <v>1422</v>
      </c>
      <c r="I33" s="4" t="n">
        <v>72</v>
      </c>
      <c r="J33" s="2" t="inlineStr">
        <is>
          <t>Qwen/Qwen3-0.6B</t>
        </is>
      </c>
      <c r="K33" s="2" t="inlineStr">
        <is>
          <t>BAAI/bge-small-en-v1.5 (evaluator aligner; semantic retrieval not invoked)</t>
        </is>
      </c>
      <c r="L33" s="2" t="inlineStr">
        <is>
          <t>SUCCESS</t>
        </is>
      </c>
      <c r="M33" s="2" t="inlineStr"/>
      <c r="N33" s="2" t="inlineStr">
        <is>
          <t>Expected CFR section(s) 74.2340: none in evidence; none cited in answer. Evidence (4): FDA Guidance: Replacing Color Additives in Approved or Marketed Drug Products: Draft Guidance for Industry (dr [full_text_or]; FDA Guidance: CVM GFI #223 Small Entity Compliance Guide Declaring Color Additives in Animal Foods (final, 201 [full_text_or]; 21 CFR 82.2051(a)(1) [full_text_or]; 21 CFR 82.1051(b) [full_text_or]. Query type GENERAL_REGULATORY_SEARCH; semantic fallback not invoked. Coverage evidence_complete=True.</t>
        </is>
      </c>
      <c r="O33" s="2" t="n">
        <v>32</v>
      </c>
      <c r="P33" s="2" t="inlineStr">
        <is>
          <t>74</t>
        </is>
      </c>
      <c r="Q33" s="2" t="inlineStr">
        <is>
          <t>Exemption</t>
        </is>
      </c>
      <c r="R33" s="2" t="inlineStr">
        <is>
          <t>Advanced</t>
        </is>
      </c>
      <c r="S33" s="2" t="inlineStr">
        <is>
          <t>21 CFR 74.2340(b), (b)(1), (d)</t>
        </is>
      </c>
      <c r="T33" s="2" t="n">
        <v>0</v>
      </c>
      <c r="U33" s="2" t="n">
        <v>0</v>
      </c>
      <c r="V33" s="2" t="n">
        <v>0</v>
      </c>
      <c r="W33" s="2" t="n">
        <v>0</v>
      </c>
      <c r="X33" s="2" t="n">
        <v>1</v>
      </c>
      <c r="Y33" s="2" t="inlineStr">
        <is>
          <t>Withheld by validator (no answer shown)</t>
        </is>
      </c>
      <c r="Z33" s="2" t="inlineStr">
        <is>
          <t>initial unsupported [unsupported_figure, invented_condition] -&gt; final valid; repair applied; fallback unvalidated_answer_withheld</t>
        </is>
      </c>
      <c r="AA33" s="2" t="inlineStr"/>
      <c r="AB33" s="2" t="inlineStr">
        <is>
          <t>FAIL</t>
        </is>
      </c>
      <c r="AC33" s="2" t="n">
        <v>0</v>
      </c>
      <c r="AD33" s="2" t="inlineStr">
        <is>
          <t>Incorrect refusal: the generated answer failed validation and was suppressed, so the question went unanswered - the suppression was right, the outcome is still no answer</t>
        </is>
      </c>
      <c r="AE33" s="3" t="n">
        <v>10.807</v>
      </c>
      <c r="AF33" s="3" t="n">
        <v>2.622</v>
      </c>
      <c r="AG33" s="3" t="n">
        <v>8.176</v>
      </c>
      <c r="AH33" s="3" t="n">
        <v>0.002</v>
      </c>
      <c r="AI33" s="2" t="inlineStr"/>
    </row>
    <row r="34">
      <c r="A34" s="2" t="inlineStr">
        <is>
          <t>COS-74.2602a-Q1</t>
        </is>
      </c>
      <c r="B34" s="2" t="inlineStr">
        <is>
          <t>We're a small skincare brand formulating a tinted nail enamel. Our supplier offers Ext. D&amp;C Violet No. 2. Can we use it, is there a use limit, and does the color need FDA certification?</t>
        </is>
      </c>
      <c r="C34" s="2" t="inlineStr">
        <is>
          <t>Yes. § 74.2602a(c) permits Ext. D&amp;C Violet No. 2 for coloring externally applied cosmetics in amounts consistent with good manufacturing practice; no numeric limit is set. A nail enamel is applied only to external body parts, not lips or mucous membrane (§ 70.3(v)). All batches must be certified under part 80 (§ 74.2602a(e)); the color additive label must conform to § 70.25 (§ 74.2602a(d)).</t>
        </is>
      </c>
      <c r="D34" s="2" t="inlineStr">
        <is>
          <t>- **Use limit**: The supplier can use Ext. D&amp;C Violet No. 2 as a tinted nail enamel, provided it is applied in accordance with the applicable regulations. [1]  
- **FDA certification**: The color does not require FDA certification, as it is a non-certificate color. [5]  
- **Suppliers**: The use of this color is subject to the supplier’s approval process and verification activities, as outlined in FDA guidance. [2]</t>
        </is>
      </c>
      <c r="E34" s="2" t="inlineStr">
        <is>
          <t>FAIL</t>
        </is>
      </c>
      <c r="F34" s="2" t="inlineStr">
        <is>
          <t>Wrong. States the color 'does not require FDA certification, as it is a non-certificate color' - the key says all batches must be certified under part 80 (74.2602a(e)). The use-limit line is vague and the supplier-verification line presents food-safety guidance as a requirement. 74.2602a was not in the retrieved evidence.</t>
        </is>
      </c>
      <c r="G34" s="3" t="n">
        <v>12.685</v>
      </c>
      <c r="H34" s="4" t="n">
        <v>1464</v>
      </c>
      <c r="I34" s="4" t="n">
        <v>98</v>
      </c>
      <c r="J34" s="2" t="inlineStr">
        <is>
          <t>Qwen/Qwen3-0.6B</t>
        </is>
      </c>
      <c r="K34" s="2" t="inlineStr">
        <is>
          <t>BAAI/bge-small-en-v1.5 (evaluator aligner; semantic retrieval not invoked)</t>
        </is>
      </c>
      <c r="L34" s="2" t="inlineStr">
        <is>
          <t>SUCCESS</t>
        </is>
      </c>
      <c r="M34" s="2" t="inlineStr"/>
      <c r="N34" s="2" t="inlineStr">
        <is>
          <t>Expected CFR section(s) 70.3, 74.2602a: none in evidence; none cited in answer. Evidence (5): FDA Guidance: CVM GFI #246 Hazard Analysis and Risk-Based Preventive Controls for Food for Animals: Supply-Cha [full_text_or]; FDA Guidance: Draft Guidance for Industry: Hazard Analysis and Risk-Based Preventive Controls for Human Food ( [full_text_or]; 21 CFR 720.4(c)(8)(v) [full_text_or]; 21 CFR 720.4(c)(8)(vi) [full_text_or]; 21 CFR 81.30(i) [full_text_or]. Query type GENERAL_REGULATORY_SEARCH; semantic fallback not invoked. Coverage evidence_complete=True.</t>
        </is>
      </c>
      <c r="O34" s="2" t="n">
        <v>33</v>
      </c>
      <c r="P34" s="2" t="inlineStr">
        <is>
          <t>74</t>
        </is>
      </c>
      <c r="Q34" s="2" t="inlineStr">
        <is>
          <t>Applicability</t>
        </is>
      </c>
      <c r="R34" s="2" t="inlineStr">
        <is>
          <t>Basic</t>
        </is>
      </c>
      <c r="S34" s="2" t="inlineStr">
        <is>
          <t>21 CFR 74.2602a(c), (d), (e); 21 CFR 70.3(v)</t>
        </is>
      </c>
      <c r="T34" s="2" t="n">
        <v>0</v>
      </c>
      <c r="U34" s="2" t="n">
        <v>0</v>
      </c>
      <c r="V34" s="2" t="n">
        <v>0</v>
      </c>
      <c r="W34" s="2" t="n">
        <v>0</v>
      </c>
      <c r="X34" s="2" t="n">
        <v>1</v>
      </c>
      <c r="Y34" s="2" t="inlineStr">
        <is>
          <t>Generated answer</t>
        </is>
      </c>
      <c r="Z34" s="2" t="inlineStr">
        <is>
          <t>initial valid -&gt; final valid</t>
        </is>
      </c>
      <c r="AA34" s="2" t="inlineStr">
        <is>
          <t>[1] = FDA Guidance: CVM GFI #246 Hazard Analysis and Risk-Based Preventive Controls for Food for Animals: Supply-Chain Program (draft, 2018-06-15, Docket FDA-2018-D-1861); [5] = 21 CFR 81.30(i); [2] = FDA Guidance: Draft Guidance for Industry: Hazard Analysis and Risk-Based Preventive Controls for Human Food (draft, 2024-01-30, Docket FDA-2016-D-2343)</t>
        </is>
      </c>
      <c r="AB34" s="2" t="inlineStr">
        <is>
          <t>NOT EVALUATED</t>
        </is>
      </c>
      <c r="AC34" s="2" t="n"/>
      <c r="AD34" s="2" t="inlineStr">
        <is>
          <t>Cannot be verified: 3 statement(s) address the question but none could be verified against the retrieved evidence</t>
        </is>
      </c>
      <c r="AE34" s="3" t="n">
        <v>12.326</v>
      </c>
      <c r="AF34" s="3" t="n">
        <v>2.528</v>
      </c>
      <c r="AG34" s="3" t="n">
        <v>9.791</v>
      </c>
      <c r="AH34" s="3" t="n">
        <v>0.356</v>
      </c>
      <c r="AI34" s="2" t="inlineStr"/>
    </row>
    <row r="35">
      <c r="A35" s="2" t="inlineStr">
        <is>
          <t>COS-74.2708-Q1</t>
        </is>
      </c>
      <c r="B35" s="2" t="inlineStr">
        <is>
          <t>We're an in-house R&amp;D lab formulating a tinted body lotion. Our supplier offers D&amp;C Yellow No. 8. Can we use it, is there a use limit, and does the color need FDA certification?</t>
        </is>
      </c>
      <c r="C35" s="2" t="inlineStr">
        <is>
          <t>Yes. § 74.2708(b) permits D&amp;C Yellow No. 8 for coloring externally applied cosmetics in amounts consistent with good manufacturing practice; no numeric limit is set. A body lotion is applied only to external body parts, not lips or mucous membrane (§ 70.3(v)). All batches must be certified under part 80 (§ 74.2708(d)); the color additive label must conform to § 70.25 (§ 74.2708(c)).</t>
        </is>
      </c>
      <c r="D35" s="2" t="inlineStr">
        <is>
          <t>The FDA requires that in-house R&amp;D labs using D&amp;C Yellow No. 8 for tinted body lotion must apply supply-chain controls and verify supplier processes. Additionally, the use of D&amp;C Yellow No. 8 is limited under section 520(e) of the act to physicians and other persons authorized by applicable State law.</t>
        </is>
      </c>
      <c r="E35" s="2" t="inlineStr">
        <is>
          <t>FAIL</t>
        </is>
      </c>
      <c r="F35" s="2" t="inlineStr">
        <is>
          <t>Wrong. Invents a restriction ('limited under section 520(e) of the act to physicians') and supply-chain duties from food guidance; never answers the use limit or certification (key: externally applied, GMP amounts, batch certification under part 80). No citation. 74.2708 was not in the retrieved evidence. Fabricated = 1 (bank Instructions rule 3, invented requirement): Invented restriction: use 'limited under section 520(e) of the act to physicians'.</t>
        </is>
      </c>
      <c r="G35" s="3" t="n">
        <v>14.613</v>
      </c>
      <c r="H35" s="4" t="n">
        <v>1445</v>
      </c>
      <c r="I35" s="4" t="n">
        <v>114</v>
      </c>
      <c r="J35" s="2" t="inlineStr">
        <is>
          <t>Qwen/Qwen3-0.6B</t>
        </is>
      </c>
      <c r="K35" s="2" t="inlineStr">
        <is>
          <t>BAAI/bge-small-en-v1.5 (evaluator aligner; semantic retrieval not invoked)</t>
        </is>
      </c>
      <c r="L35" s="2" t="inlineStr">
        <is>
          <t>SUCCESS</t>
        </is>
      </c>
      <c r="M35" s="2" t="inlineStr"/>
      <c r="N35" s="2" t="inlineStr">
        <is>
          <t>Expected CFR section(s) 70.3, 74.2708: none in evidence; none cited in answer. Evidence (5): FDA Guidance: CVM GFI #246 Hazard Analysis and Risk-Based Preventive Controls for Food for Animals: Supply-Cha [full_text_or]; FDA Guidance: Draft Guidance for Industry: Hazard Analysis and Risk-Based Preventive Controls for Human Food ( [full_text_or]; 21 CFR 809.30(f) [full_text_or]; 21 CFR 1271.210(c) [full_text_or]; 21 CFR 720.4(c)(6)(ii) [full_text_or]. Query type GENERAL_REGULATORY_SEARCH; semantic fallback not invoked. Coverage evidence_complete=True.</t>
        </is>
      </c>
      <c r="O35" s="2" t="n">
        <v>34</v>
      </c>
      <c r="P35" s="2" t="inlineStr">
        <is>
          <t>74</t>
        </is>
      </c>
      <c r="Q35" s="2" t="inlineStr">
        <is>
          <t>Applicability</t>
        </is>
      </c>
      <c r="R35" s="2" t="inlineStr">
        <is>
          <t>Basic</t>
        </is>
      </c>
      <c r="S35" s="2" t="inlineStr">
        <is>
          <t>21 CFR 74.2708(b), (c), (d); 21 CFR 70.3(v)</t>
        </is>
      </c>
      <c r="T35" s="2" t="n">
        <v>0</v>
      </c>
      <c r="U35" s="2" t="n">
        <v>1</v>
      </c>
      <c r="V35" s="2" t="n">
        <v>0</v>
      </c>
      <c r="W35" s="2" t="n">
        <v>0</v>
      </c>
      <c r="X35" s="2" t="n">
        <v>1</v>
      </c>
      <c r="Y35" s="2" t="inlineStr">
        <is>
          <t>Generated answer</t>
        </is>
      </c>
      <c r="Z35" s="2" t="inlineStr">
        <is>
          <t>initial evidence_mismatched [invented_condition] -&gt; final valid; repair applied</t>
        </is>
      </c>
      <c r="AA35" s="2" t="inlineStr"/>
      <c r="AB35" s="2" t="inlineStr">
        <is>
          <t>NOT EVALUATED</t>
        </is>
      </c>
      <c r="AC35" s="2" t="n"/>
      <c r="AD35" s="2" t="inlineStr">
        <is>
          <t>Cannot be verified: 2 statement(s) address the question but none could be verified against the retrieved evidence</t>
        </is>
      </c>
      <c r="AE35" s="3" t="n">
        <v>14.575</v>
      </c>
      <c r="AF35" s="3" t="n">
        <v>2.746</v>
      </c>
      <c r="AG35" s="3" t="n">
        <v>11.82</v>
      </c>
      <c r="AH35" s="3" t="n">
        <v>0.035</v>
      </c>
      <c r="AI35" s="2" t="inlineStr"/>
    </row>
    <row r="36">
      <c r="A36" s="2" t="inlineStr">
        <is>
          <t>COS-74.2710-Q1</t>
        </is>
      </c>
      <c r="B36" s="2" t="inlineStr">
        <is>
          <t>Our indie startup is launching a lip gloss and a matching mascara, both colored with D&amp;C Yellow No. 10. Is D&amp;C Yellow No. 10 permitted in both, and does it need certification?</t>
        </is>
      </c>
      <c r="C36" s="2" t="inlineStr">
        <is>
          <t>§ 74.2710(b) permits D&amp;C Yellow No. 10 for coloring cosmetics generally in amounts consistent with current good manufacturing practice, so the lip gloss is covered. The section does not specifically provide for eye-area use, so under § 70.5(a) the mascara is not authorized. All batches must be certified under part 80 (§ 74.2710(d)); the color additive label must conform to § 70.25 (§ 74.2710(c)).</t>
        </is>
      </c>
      <c r="D36" s="2" t="inlineStr">
        <is>
          <t>The available regulatory sources do not provide enough information to answer this question. [1]</t>
        </is>
      </c>
      <c r="E36" s="2" t="inlineStr">
        <is>
          <t>FAIL</t>
        </is>
      </c>
      <c r="F36" s="2" t="inlineStr">
        <is>
          <t>Declined, citing a drug color-replacement guidance. Key: lip gloss permitted, mascara not authorized under 70.5(a), batch certification required. Neither 74.2710 nor 70.5 was in the retrieved evidence.</t>
        </is>
      </c>
      <c r="G36" s="3" t="n">
        <v>4.814</v>
      </c>
      <c r="H36" s="4" t="n">
        <v>1432</v>
      </c>
      <c r="I36" s="4" t="n">
        <v>18</v>
      </c>
      <c r="J36" s="2" t="inlineStr">
        <is>
          <t>Qwen/Qwen3-0.6B</t>
        </is>
      </c>
      <c r="K36" s="2" t="inlineStr">
        <is>
          <t>BAAI/bge-small-en-v1.5 (evaluator aligner; semantic retrieval not invoked)</t>
        </is>
      </c>
      <c r="L36" s="2" t="inlineStr">
        <is>
          <t>SUCCESS</t>
        </is>
      </c>
      <c r="M36" s="2" t="inlineStr"/>
      <c r="N36" s="2" t="inlineStr">
        <is>
          <t>Expected CFR section(s) 70.5, 74.2710: none in evidence; none cited in answer. Evidence (3): FDA Guidance: Replacing Color Additives in Approved or Marketed Drug Products: Draft Guidance for Industry (dr [full_text_or]; FDA Guidance: CVM GFI #223 Small Entity Compliance Guide Declaring Color Additives in Animal Foods (final, 201 [full_text_or]; 21 CFR 81.10(i) [full_text_or]. Query type GENERAL_REGULATORY_SEARCH; semantic fallback not invoked. Coverage evidence_complete=True.</t>
        </is>
      </c>
      <c r="O36" s="2" t="n">
        <v>35</v>
      </c>
      <c r="P36" s="2" t="inlineStr">
        <is>
          <t>74</t>
        </is>
      </c>
      <c r="Q36" s="2" t="inlineStr">
        <is>
          <t>Applicability</t>
        </is>
      </c>
      <c r="R36" s="2" t="inlineStr">
        <is>
          <t>Intermediate</t>
        </is>
      </c>
      <c r="S36" s="2" t="inlineStr">
        <is>
          <t>21 CFR 74.2710(b), (c), (d); 21 CFR 70.5(a)</t>
        </is>
      </c>
      <c r="T36" s="2" t="n">
        <v>0</v>
      </c>
      <c r="U36" s="2" t="n">
        <v>0</v>
      </c>
      <c r="V36" s="2" t="n">
        <v>0</v>
      </c>
      <c r="W36" s="2" t="n">
        <v>0</v>
      </c>
      <c r="X36" s="2" t="n">
        <v>1</v>
      </c>
      <c r="Y36" s="2" t="inlineStr">
        <is>
          <t>Generated answer</t>
        </is>
      </c>
      <c r="Z36" s="2" t="inlineStr">
        <is>
          <t>initial valid -&gt; final valid</t>
        </is>
      </c>
      <c r="AA36" s="2" t="inlineStr">
        <is>
          <t>[1] = FDA Guidance: Replacing Color Additives in Approved or Marketed Drug Products: Draft Guidance for Industry (draft, 2025-05-29, Docket FDA-2025-D-0507)</t>
        </is>
      </c>
      <c r="AB36" s="2" t="inlineStr">
        <is>
          <t>NOT EVALUATED</t>
        </is>
      </c>
      <c r="AC36" s="2" t="n"/>
      <c r="AD36" s="2" t="inlineStr">
        <is>
          <t>Cannot be verified: the answer declines, and neither the pipeline state nor the retrieved evidence establishes whether the question could have been answered</t>
        </is>
      </c>
      <c r="AE36" s="3" t="n">
        <v>4.809</v>
      </c>
      <c r="AF36" s="3" t="n">
        <v>0.947</v>
      </c>
      <c r="AG36" s="3" t="n">
        <v>3.857</v>
      </c>
      <c r="AH36" s="3" t="n">
        <v>0.002</v>
      </c>
      <c r="AI36" s="2" t="inlineStr"/>
    </row>
    <row r="37">
      <c r="A37" s="2" t="inlineStr">
        <is>
          <t>COS-74.2711-Q1</t>
        </is>
      </c>
      <c r="B37" s="2" t="inlineStr">
        <is>
          <t>We're a 12-person contract filler formulating a tinted nail enamel. Our supplier offers D&amp;C Yellow No. 11. Can we use it, is there a use limit, and does the color need FDA certification?</t>
        </is>
      </c>
      <c r="C37" s="2" t="inlineStr">
        <is>
          <t>Yes. § 74.2711(b) permits D&amp;C Yellow No. 11 for coloring externally applied cosmetics in amounts consistent with good manufacturing practice; no numeric limit is set. A nail enamel is applied only to external body parts, not lips or mucous membrane (§ 70.3(v)). All batches must be certified under part 80 (§ 74.2711(d)); the color additive label must conform to § 70.25 (§ 74.2711(c)).</t>
        </is>
      </c>
      <c r="D37" s="2" t="inlineStr">
        <is>
          <t>The generated answer could not be validated against the retrieved regulatory evidence, so it is not shown. The retrieved sources were not verified to answer the question as asked, so their text is not quoted as an answer. Sources consulted: FDA Guidance: CVM GFI #246 Hazard Analysis and Risk-Based Preventive Controls for Food for Animals: Supply-Chain Program (draft, 2018-06-15, Docket FDA-2018-D-1861), 21 CFR 720.4(c)(8)(v), 21 CFR 720.4(c)(8)(vi), 21 CFR 74.2052(c).</t>
        </is>
      </c>
      <c r="E37" s="2" t="inlineStr">
        <is>
          <t>FAIL</t>
        </is>
      </c>
      <c r="F37" s="2" t="inlineStr">
        <is>
          <t>No answer delivered: draft withheld (unsupported figure/claim). 74.2711 was not in the retrieved evidence (animal-food guidance, 720.4, 74.2052(c)), so the key's answer was not provided.</t>
        </is>
      </c>
      <c r="G37" s="3" t="n">
        <v>12.18</v>
      </c>
      <c r="H37" s="4" t="n">
        <v>1434</v>
      </c>
      <c r="I37" s="4" t="n">
        <v>93</v>
      </c>
      <c r="J37" s="2" t="inlineStr">
        <is>
          <t>Qwen/Qwen3-0.6B</t>
        </is>
      </c>
      <c r="K37" s="2" t="inlineStr">
        <is>
          <t>BAAI/bge-small-en-v1.5 (evaluator aligner; semantic retrieval not invoked)</t>
        </is>
      </c>
      <c r="L37" s="2" t="inlineStr">
        <is>
          <t>SUCCESS</t>
        </is>
      </c>
      <c r="M37" s="2" t="inlineStr"/>
      <c r="N37" s="2" t="inlineStr">
        <is>
          <t>Expected CFR section(s) 70.3, 74.2711: none in evidence; none cited in answer. Evidence (5): FDA Guidance: CVM GFI #246 Hazard Analysis and Risk-Based Preventive Controls for Food for Animals: Supply-Cha [full_text_or]; FDA Guidance: CVM GFI #246 Hazard Analysis and Risk-Based Preventive Controls for Food for Animals: Supply-Cha [full_text_or]; 21 CFR 720.4(c)(8)(v) [full_text_or]; 21 CFR 720.4(c)(8)(vi) [full_text_or]; 21 CFR 74.2052(c) [full_text_or]. Query type GENERAL_REGULATORY_SEARCH; semantic fallback not invoked. Coverage evidence_complete=True.</t>
        </is>
      </c>
      <c r="O37" s="2" t="n">
        <v>36</v>
      </c>
      <c r="P37" s="2" t="inlineStr">
        <is>
          <t>74</t>
        </is>
      </c>
      <c r="Q37" s="2" t="inlineStr">
        <is>
          <t>Applicability</t>
        </is>
      </c>
      <c r="R37" s="2" t="inlineStr">
        <is>
          <t>Basic</t>
        </is>
      </c>
      <c r="S37" s="2" t="inlineStr">
        <is>
          <t>21 CFR 74.2711(b), (c), (d); 21 CFR 70.3(v)</t>
        </is>
      </c>
      <c r="T37" s="2" t="n">
        <v>0</v>
      </c>
      <c r="U37" s="2" t="n">
        <v>0</v>
      </c>
      <c r="V37" s="2" t="n">
        <v>0</v>
      </c>
      <c r="W37" s="2" t="n">
        <v>0</v>
      </c>
      <c r="X37" s="2" t="n">
        <v>1</v>
      </c>
      <c r="Y37" s="2" t="inlineStr">
        <is>
          <t>Withheld by validator (no answer shown)</t>
        </is>
      </c>
      <c r="Z37" s="2" t="inlineStr">
        <is>
          <t>initial unsupported [unsupported_figure, unsupported_claim] -&gt; final unsupported; repair applied; fallback unvalidated_answer_withheld</t>
        </is>
      </c>
      <c r="AA37" s="2" t="inlineStr"/>
      <c r="AB37" s="2" t="inlineStr">
        <is>
          <t>FAIL</t>
        </is>
      </c>
      <c r="AC37" s="2" t="n">
        <v>0</v>
      </c>
      <c r="AD37" s="2" t="inlineStr">
        <is>
          <t>Incorrect refusal: the generated answer failed validation and was suppressed, so the question went unanswered - the suppression was right, the outcome is still no answer</t>
        </is>
      </c>
      <c r="AE37" s="3" t="n">
        <v>12.175</v>
      </c>
      <c r="AF37" s="3" t="n">
        <v>2.705</v>
      </c>
      <c r="AG37" s="3" t="n">
        <v>9.461</v>
      </c>
      <c r="AH37" s="3" t="n">
        <v>0.001</v>
      </c>
      <c r="AI37" s="2" t="inlineStr"/>
    </row>
    <row r="38">
      <c r="A38" s="2" t="inlineStr">
        <is>
          <t>COS-80.10-Q1</t>
        </is>
      </c>
      <c r="B38" s="2" t="inlineStr">
        <is>
          <t>We're submitting a 2,000-pound batch of a straight color for certification. What fee do we pay, and how must we pay it?</t>
        </is>
      </c>
      <c r="C38" s="2" t="inlineStr">
        <is>
          <t>§ 80.10(a): $0.45 per pound of the batch, minimum $288, so $900. § 80.10(d): pay by money order, bank draft, or certified check drawn to the order of the Food and Drug Administration, collectible at par at Washington, DC, sent to CFSAN (HFS-100), 5001 Campus Dr., College Park, MD 20740. Regular requesters may prepay through advance deposits (§ 80.10(c)).</t>
        </is>
      </c>
      <c r="D38" s="2" t="inlineStr">
        <is>
          <t>The generated answer could not be validated against the retrieved regulatory evidence, so it is not shown. The retrieved sources were not verified to answer the question as asked, so their text is not quoted as an answer. Sources consulted: FDA Guidance: Generic Drug User Fee Amendments of 2012: Questions and Answers Related to User Fee Assessments: Guidance for Industry (final, 2016-11-22, Docket FDA-2012-D-0880), FDA Guidance: Assessing User Fees Under the Generic Drug User Fee Amendments of 2022 (final, 2023-06-09, Docket FDA-2012-D-0880), 21 CFR 80.10(a), 21 CFR 80.10(b), 21 CFR 80.21(j)(1).</t>
        </is>
      </c>
      <c r="E38" s="2" t="inlineStr">
        <is>
          <t>FAIL</t>
        </is>
      </c>
      <c r="F38" s="2" t="inlineStr">
        <is>
          <t>No answer delivered: draft withheld (unsupported figure), although 80.10(a) and (b) were in the retrieved evidence. The key's answer ($0.45/lb, minimum $288, so $900; payment by money order/bank draft/certified check per 80.10(d); advance deposits per (c)) was not provided.</t>
        </is>
      </c>
      <c r="G38" s="3" t="n">
        <v>13.126</v>
      </c>
      <c r="H38" s="4" t="n">
        <v>1461</v>
      </c>
      <c r="I38" s="4" t="n">
        <v>128</v>
      </c>
      <c r="J38" s="2" t="inlineStr">
        <is>
          <t>Qwen/Qwen3-0.6B</t>
        </is>
      </c>
      <c r="K38" s="2" t="inlineStr">
        <is>
          <t>BAAI/bge-small-en-v1.5 (evaluator aligner; semantic retrieval not invoked)</t>
        </is>
      </c>
      <c r="L38" s="2" t="inlineStr">
        <is>
          <t>SUCCESS</t>
        </is>
      </c>
      <c r="M38" s="2" t="inlineStr"/>
      <c r="N38" s="2" t="inlineStr">
        <is>
          <t>Expected CFR section(s) 80.10: all in evidence; none cited in answer. Evidence (5): FDA Guidance: Generic Drug User Fee Amendments of 2012: Questions and Answers Related to User Fee Assessments: [full_text_or]; FDA Guidance: Assessing User Fees Under the Generic Drug User Fee Amendments of 2022 (final, 2023-06-09, Docke [full_text_or]; 21 CFR 80.10(a) [full_text_or]; 21 CFR 80.10(b) [full_text_or]; 21 CFR 80.21(j)(1) [full_text_or]. Query type GENERAL_REGULATORY_SEARCH; semantic fallback not invoked. Coverage evidence_complete=True.</t>
        </is>
      </c>
      <c r="O38" s="2" t="n">
        <v>37</v>
      </c>
      <c r="P38" s="2" t="inlineStr">
        <is>
          <t>80</t>
        </is>
      </c>
      <c r="Q38" s="2" t="inlineStr">
        <is>
          <t>How to Comply</t>
        </is>
      </c>
      <c r="R38" s="2" t="inlineStr">
        <is>
          <t>Intermediate</t>
        </is>
      </c>
      <c r="S38" s="2" t="inlineStr">
        <is>
          <t>21 CFR 80.10(a), (c), (d)</t>
        </is>
      </c>
      <c r="T38" s="2" t="n">
        <v>0</v>
      </c>
      <c r="U38" s="2" t="n">
        <v>0</v>
      </c>
      <c r="V38" s="2" t="n">
        <v>0</v>
      </c>
      <c r="W38" s="2" t="n">
        <v>0</v>
      </c>
      <c r="X38" s="2" t="n">
        <v>1</v>
      </c>
      <c r="Y38" s="2" t="inlineStr">
        <is>
          <t>Withheld by validator (no answer shown)</t>
        </is>
      </c>
      <c r="Z38" s="2" t="inlineStr">
        <is>
          <t>initial unsupported [unsupported_figure] -&gt; final unsupported; repair applied; fallback unvalidated_answer_withheld</t>
        </is>
      </c>
      <c r="AA38" s="2" t="inlineStr"/>
      <c r="AB38" s="2" t="inlineStr">
        <is>
          <t>FAIL</t>
        </is>
      </c>
      <c r="AC38" s="2" t="n">
        <v>0</v>
      </c>
      <c r="AD38" s="2" t="inlineStr">
        <is>
          <t>Incorrect refusal: the generated answer failed validation and was suppressed, so the question went unanswered - the suppression was right, the outcome is still no answer</t>
        </is>
      </c>
      <c r="AE38" s="3" t="n">
        <v>13.121</v>
      </c>
      <c r="AF38" s="3" t="n">
        <v>1.066</v>
      </c>
      <c r="AG38" s="3" t="n">
        <v>12.05</v>
      </c>
      <c r="AH38" s="3" t="n">
        <v>0.001</v>
      </c>
      <c r="AI38" s="2" t="inlineStr"/>
    </row>
    <row r="39">
      <c r="A39" s="2" t="inlineStr">
        <is>
          <t>COS-80.31-Q1</t>
        </is>
      </c>
      <c r="B39" s="2" t="inlineStr">
        <is>
          <t>What must FDA determine before it certifies our batch, and what does the certificate show?</t>
        </is>
      </c>
      <c r="C39" s="2" t="inlineStr">
        <is>
          <t>§ 80.31(a): after any investigation the Commissioner considers necessary, he must find that (1) the § 80.21 request appears to contain no untrue statement of a material fact, (2) the color additive meets the prescribed specifications and other conditions, and (3) the batch otherwise appears to comply with the regulations. The certificate shows the batch's lot number and states that the batch is certified.</t>
        </is>
      </c>
      <c r="D39" s="2" t="inlineStr">
        <is>
          <t>To determine whether a batch must be certified, the FDA requires that the batch must comply with the regulations in this chapter, and the person who submitted the request must receive a certificate showing the lot number assigned to the batch and that the batch is a certified batch. The certificate must also show the batch's lot number and that it is subject to the terms, conditions, and restrictions prescribed by parts 74, 81, and 82 of this chapter.  
The certificate must also show the batch's lot number and that it is a certified batch. [3][4]</t>
        </is>
      </c>
      <c r="E39" s="2" t="inlineStr">
        <is>
          <t>PARTIALLY FAIL</t>
        </is>
      </c>
      <c r="F39" s="2" t="inlineStr">
        <is>
          <t>Partly correct. States that the batch must comply with the regulations and that the certificate shows the lot number and certified status (80.31(a)(3) and certificate content, correctly cited). Omits two of the three findings FDA must make - no untrue statement of material fact in the 80.21 request, and conformance to specifications - and repeats itself; it also frames the opening as 'to determine whether a batch must be certified'.</t>
        </is>
      </c>
      <c r="G39" s="3" t="n">
        <v>13.85</v>
      </c>
      <c r="H39" s="4" t="n">
        <v>1382</v>
      </c>
      <c r="I39" s="4" t="n">
        <v>143</v>
      </c>
      <c r="J39" s="2" t="inlineStr">
        <is>
          <t>Qwen/Qwen3-0.6B</t>
        </is>
      </c>
      <c r="K39" s="2" t="inlineStr">
        <is>
          <t>BAAI/bge-small-en-v1.5 (evaluator aligner; semantic retrieval not invoked)</t>
        </is>
      </c>
      <c r="L39" s="2" t="inlineStr">
        <is>
          <t>SUCCESS</t>
        </is>
      </c>
      <c r="M39" s="2" t="inlineStr"/>
      <c r="N39" s="2" t="inlineStr">
        <is>
          <t>Expected CFR section(s) 80.31: all in evidence; cited in answer: 80.31. Evidence (5): FDA Guidance: Guidance for Industry and FDA Staff: Model Accreditation Standards for Third-Party Certification [full_text_or]; FDA Guidance: CVM GFI #169 Drug Substance Chemistry, Manufacturing, and Controls Information (final, 2010-08-0 [full_text_or]; 21 CFR 80.31(a)(3) [full_text_or]; 21 CFR 80.21(j)(3) [full_text_or]; 21 CFR 80.21(e) [full_text_or]. Query type GENERAL_REGULATORY_SEARCH; semantic fallback not invoked. Coverage evidence_complete=True.</t>
        </is>
      </c>
      <c r="O39" s="2" t="n">
        <v>38</v>
      </c>
      <c r="P39" s="2" t="inlineStr">
        <is>
          <t>80</t>
        </is>
      </c>
      <c r="Q39" s="2" t="inlineStr">
        <is>
          <t>Specific Requirement</t>
        </is>
      </c>
      <c r="R39" s="2" t="inlineStr">
        <is>
          <t>Intermediate</t>
        </is>
      </c>
      <c r="S39" s="2" t="inlineStr">
        <is>
          <t>21 CFR 80.31(a)</t>
        </is>
      </c>
      <c r="T39" s="2" t="n">
        <v>1</v>
      </c>
      <c r="U39" s="2" t="n">
        <v>0</v>
      </c>
      <c r="V39" s="2" t="n">
        <v>1</v>
      </c>
      <c r="W39" s="2" t="n">
        <v>2</v>
      </c>
      <c r="X39" s="2" t="n">
        <v>1</v>
      </c>
      <c r="Y39" s="2" t="inlineStr">
        <is>
          <t>Generated answer</t>
        </is>
      </c>
      <c r="Z39" s="2" t="inlineStr">
        <is>
          <t>initial valid -&gt; final valid</t>
        </is>
      </c>
      <c r="AA39" s="2" t="inlineStr">
        <is>
          <t>[3] = 21 CFR 80.31(a)(3); [4] = 21 CFR 80.21(j)(3)</t>
        </is>
      </c>
      <c r="AB39" s="2" t="inlineStr">
        <is>
          <t>PASS</t>
        </is>
      </c>
      <c r="AC39" s="2" t="n">
        <v>100</v>
      </c>
      <c r="AD39" s="2" t="inlineStr">
        <is>
          <t>Correct: all 3 statement(s) answer the question and are supported by the evidence; covers What must FDA determine before it certifies our batch, what does the certificate show</t>
        </is>
      </c>
      <c r="AE39" s="3" t="n">
        <v>13.782</v>
      </c>
      <c r="AF39" s="3" t="n">
        <v>0.975</v>
      </c>
      <c r="AG39" s="3" t="n">
        <v>12.804</v>
      </c>
      <c r="AH39" s="3" t="n">
        <v>0.065</v>
      </c>
      <c r="AI39" s="2" t="inlineStr"/>
    </row>
    <row r="40">
      <c r="A40" s="2" t="inlineStr">
        <is>
          <t>COS-80.37-Q1</t>
        </is>
      </c>
      <c r="B40" s="2" t="inlineStr">
        <is>
          <t>After we take the certification sample, how must we handle the batch while we wait for FDA?</t>
        </is>
      </c>
      <c r="C40" s="2" t="inlineStr">
        <is>
          <t>§ 80.37: immediately after the sample is taken, the batch must be (a) stored in containers that prevent a change in composition; (b) held under the control of the person requesting certification until certified; and (c) marked, by labeling or otherwise, so its identity is unmistakable and it is clearly not to be used until the requested certificate is issued.</t>
        </is>
      </c>
      <c r="D40" s="2" t="inlineStr">
        <is>
          <t>The FDA requires that after taking the certification sample, the batch must be handled according to the sampling plan developed in the guidance. Specifically, environmental sampling must be conducted at least monthly (§ 112.145(c)(2)), and samples may be collected from only some of the identified sampling sites. Additionally, the guidance provides examples of how to develop a sampling plan, including determining sampling frequency and ensuring all sites are sampled. The FDA guidance also mentions that sample perturbation studies should be conducted to ensure the SMBG device handles sample perturbation properly.</t>
        </is>
      </c>
      <c r="E40" s="2" t="inlineStr">
        <is>
          <t>FAIL</t>
        </is>
      </c>
      <c r="F40" s="2" t="inlineStr">
        <is>
          <t>Wrong. Describes produce-safety environmental sampling (112.145(c)(2), monthly) and blood-glucose-meter perturbation studies instead of 80.37's holding requirements (store to prevent composition change, keep under requester's control, mark as not for use until certified). 80.37 was not in the retrieved evidence. Fabricated = 1 (bank Instructions rule 3, invented requirement): Produce-safety sampling rule (112.145(c)(2), monthly) stated as applying to a color-certification batch.</t>
        </is>
      </c>
      <c r="G40" s="3" t="n">
        <v>14.489</v>
      </c>
      <c r="H40" s="4" t="n">
        <v>1359</v>
      </c>
      <c r="I40" s="4" t="n">
        <v>146</v>
      </c>
      <c r="J40" s="2" t="inlineStr">
        <is>
          <t>Qwen/Qwen3-0.6B</t>
        </is>
      </c>
      <c r="K40" s="2" t="inlineStr">
        <is>
          <t>BAAI/bge-small-en-v1.5 (evaluator aligner; semantic retrieval not invoked)</t>
        </is>
      </c>
      <c r="L40" s="2" t="inlineStr">
        <is>
          <t>SUCCESS</t>
        </is>
      </c>
      <c r="M40" s="2" t="inlineStr"/>
      <c r="N40" s="2" t="inlineStr">
        <is>
          <t>Expected CFR section(s) 80.37: none in evidence; none cited in answer. Evidence (3): FDA Guidance: Guidance for Industry: Standards for the Growing, Harvesting, Packing, and Holding of Sprouts fo [full_text_or]; FDA Guidance: Self-Monitoring Blood Glucose Test Systems for Over-the-Counter Use: Guidance for Industry and F [full_text_or]; 21 CFR 10.204(h) [full_text_or]. Query type GENERAL_REGULATORY_SEARCH; semantic fallback not invoked. Coverage evidence_complete=True.</t>
        </is>
      </c>
      <c r="O40" s="2" t="n">
        <v>39</v>
      </c>
      <c r="P40" s="2" t="inlineStr">
        <is>
          <t>80</t>
        </is>
      </c>
      <c r="Q40" s="2" t="inlineStr">
        <is>
          <t>How to Comply</t>
        </is>
      </c>
      <c r="R40" s="2" t="inlineStr">
        <is>
          <t>Basic</t>
        </is>
      </c>
      <c r="S40" s="2" t="inlineStr">
        <is>
          <t>21 CFR 80.37(a)-(c)</t>
        </is>
      </c>
      <c r="T40" s="2" t="n">
        <v>0</v>
      </c>
      <c r="U40" s="2" t="n">
        <v>1</v>
      </c>
      <c r="V40" s="2" t="n">
        <v>0</v>
      </c>
      <c r="W40" s="2" t="n">
        <v>0</v>
      </c>
      <c r="X40" s="2" t="n">
        <v>1</v>
      </c>
      <c r="Y40" s="2" t="inlineStr">
        <is>
          <t>Generated answer</t>
        </is>
      </c>
      <c r="Z40" s="2" t="inlineStr">
        <is>
          <t>initial citation_invalid [invalid_citation, invented_condition] -&gt; final valid; repair applied</t>
        </is>
      </c>
      <c r="AA40" s="2" t="inlineStr"/>
      <c r="AB40" s="2" t="inlineStr">
        <is>
          <t>NOT EVALUATED</t>
        </is>
      </c>
      <c r="AC40" s="2" t="n"/>
      <c r="AD40" s="2" t="inlineStr">
        <is>
          <t>Cannot be verified: 4 statement(s) address the question but none could be verified against the retrieved evidence</t>
        </is>
      </c>
      <c r="AE40" s="3" t="n">
        <v>14.375</v>
      </c>
      <c r="AF40" s="3" t="n">
        <v>0.8129999999999999</v>
      </c>
      <c r="AG40" s="3" t="n">
        <v>13.553</v>
      </c>
      <c r="AH40" s="3" t="n">
        <v>0.11</v>
      </c>
      <c r="AI40" s="2" t="inlineStr"/>
    </row>
    <row r="41">
      <c r="A41" s="2" t="inlineStr">
        <is>
          <t>COS-80.38-Q1</t>
        </is>
      </c>
      <c r="B41" s="2" t="inlineStr">
        <is>
          <t>We've been notified that our batch is certified. What must we do with it next?</t>
        </is>
      </c>
      <c r="C41" s="2" t="inlineStr">
        <is>
          <t>§ 80.38(a): identify the batch by labeling it with the certified lot number. § 80.38(b): keep it in storage that prevents a change in composition until it is packaged and labeled as required by §§ 70.20 and 70.25; meanwhile the color additive may be used to color a food, drug, or cosmetic.</t>
        </is>
      </c>
      <c r="D41" s="2" t="inlineStr">
        <is>
          <t>The available regulatory sources do not provide enough information to answer this question. [4]</t>
        </is>
      </c>
      <c r="E41" s="2" t="inlineStr">
        <is>
          <t>FAIL</t>
        </is>
      </c>
      <c r="F41" s="2" t="inlineStr">
        <is>
          <t>Declined, citing 101.9(b)(5)(ix). 80.38 was not in the retrieved evidence, so the key's answer (label with the certified lot number; store to prevent composition change until packaged/labeled per 70.20 and 70.25) was not provided.</t>
        </is>
      </c>
      <c r="G41" s="3" t="n">
        <v>4.62</v>
      </c>
      <c r="H41" s="4" t="n">
        <v>1383</v>
      </c>
      <c r="I41" s="4" t="n">
        <v>18</v>
      </c>
      <c r="J41" s="2" t="inlineStr">
        <is>
          <t>Qwen/Qwen3-0.6B</t>
        </is>
      </c>
      <c r="K41" s="2" t="inlineStr">
        <is>
          <t>BAAI/bge-small-en-v1.5 (evaluator aligner; semantic retrieval not invoked)</t>
        </is>
      </c>
      <c r="L41" s="2" t="inlineStr">
        <is>
          <t>SUCCESS</t>
        </is>
      </c>
      <c r="M41" s="2" t="inlineStr"/>
      <c r="N41" s="2" t="inlineStr">
        <is>
          <t>Expected CFR section(s) 80.38: none in evidence; none cited in answer. Evidence (4): FDA Guidance: CVM GFI #188 Data Elements for Submission of Veterinary Adverse Event Reports to the Center for  [full_text_or]; FDA Guidance: CVM GFI #169 Drug Substance Chemistry, Manufacturing, and Controls Information (final, 2010-08-0 [full_text_or]; 21 CFR 80.32(a) [full_text_or]; 21 CFR 101.9(b)(5)(ix) [full_text_or]. Query type GENERAL_REGULATORY_SEARCH; semantic fallback not invoked. Coverage evidence_complete=True.</t>
        </is>
      </c>
      <c r="O41" s="2" t="n">
        <v>40</v>
      </c>
      <c r="P41" s="2" t="inlineStr">
        <is>
          <t>80</t>
        </is>
      </c>
      <c r="Q41" s="2" t="inlineStr">
        <is>
          <t>How to Comply</t>
        </is>
      </c>
      <c r="R41" s="2" t="inlineStr">
        <is>
          <t>Basic</t>
        </is>
      </c>
      <c r="S41" s="2" t="inlineStr">
        <is>
          <t>21 CFR 80.38(a), (b)</t>
        </is>
      </c>
      <c r="T41" s="2" t="n">
        <v>0</v>
      </c>
      <c r="U41" s="2" t="n">
        <v>0</v>
      </c>
      <c r="V41" s="2" t="n">
        <v>0</v>
      </c>
      <c r="W41" s="2" t="n">
        <v>0</v>
      </c>
      <c r="X41" s="2" t="n">
        <v>1</v>
      </c>
      <c r="Y41" s="2" t="inlineStr">
        <is>
          <t>Generated answer</t>
        </is>
      </c>
      <c r="Z41" s="2" t="inlineStr">
        <is>
          <t>initial valid -&gt; final valid</t>
        </is>
      </c>
      <c r="AA41" s="2" t="inlineStr">
        <is>
          <t>[4] = 21 CFR 101.9(b)(5)(ix)</t>
        </is>
      </c>
      <c r="AB41" s="2" t="inlineStr">
        <is>
          <t>NOT EVALUATED</t>
        </is>
      </c>
      <c r="AC41" s="2" t="n"/>
      <c r="AD41" s="2" t="inlineStr">
        <is>
          <t>Cannot be verified: the answer declines, and neither the pipeline state nor the retrieved evidence establishes whether the question could have been answered</t>
        </is>
      </c>
      <c r="AE41" s="3" t="n">
        <v>4.614</v>
      </c>
      <c r="AF41" s="3" t="n">
        <v>0.735</v>
      </c>
      <c r="AG41" s="3" t="n">
        <v>3.871</v>
      </c>
      <c r="AH41" s="3" t="n">
        <v>0.002</v>
      </c>
      <c r="AI41" s="2" t="inlineStr"/>
    </row>
    <row r="42">
      <c r="A42" s="2" t="inlineStr">
        <is>
          <t>COS-81.30-Q1</t>
        </is>
      </c>
      <c r="B42" s="2" t="inlineStr">
        <is>
          <t>We found old certified lots of D&amp;C Red No. 19 in our warehouse. Can we use them in an externally applied lotion?</t>
        </is>
      </c>
      <c r="C42" s="2" t="inlineStr">
        <is>
          <t>No. § 81.30(r)(1) cancelled certificates for D&amp;C Red No. 19 and its lakes for ingested drugs and cosmetics after February 4, 1983, and (r)(4) for externally applied drugs and cosmetics after July 15, 1988. (r)(5): no market removal is required for externally applied products to which it was added on or before July 15, 1988.</t>
        </is>
      </c>
      <c r="D42" s="2" t="inlineStr">
        <is>
          <t>The available regulatory sources do not provide enough information to answer this question. [1]</t>
        </is>
      </c>
      <c r="E42" s="2" t="inlineStr">
        <is>
          <t>FAIL</t>
        </is>
      </c>
      <c r="F42" s="2" t="inlineStr">
        <is>
          <t>Declined, citing a lead-in-cosmetics draft guidance. 81.30(r) was not in the retrieved evidence, so the key's answer (No - certificates for D&amp;C Red No. 19 cancelled, external uses after July 15, 1988) was not provided.</t>
        </is>
      </c>
      <c r="G42" s="3" t="n">
        <v>6.113</v>
      </c>
      <c r="H42" s="4" t="n">
        <v>1402</v>
      </c>
      <c r="I42" s="4" t="n">
        <v>18</v>
      </c>
      <c r="J42" s="2" t="inlineStr">
        <is>
          <t>Qwen/Qwen3-0.6B</t>
        </is>
      </c>
      <c r="K42" s="2" t="inlineStr">
        <is>
          <t>BAAI/bge-small-en-v1.5 (evaluator aligner; semantic retrieval not invoked)</t>
        </is>
      </c>
      <c r="L42" s="2" t="inlineStr">
        <is>
          <t>SUCCESS</t>
        </is>
      </c>
      <c r="M42" s="2" t="inlineStr"/>
      <c r="N42" s="2" t="inlineStr">
        <is>
          <t>Expected CFR section(s) 81.30: none in evidence; none cited in answer. Evidence (4): FDA Guidance: Draft Guidance for Industry: Lead in Cosmetic Lip Products and Externally Applied Cosmetics: Rec [full_text_or]; FDA Guidance: Draft Guidance for Industry: Lead in Cosmetic Lip Products and Externally Applied Cosmetics: Rec [full_text_or]; 21 CFR 358.750(c)(3) [full_text_or]; 21 CFR 358.750(d)(2) [full_text_or]. Query type GENERAL_REGULATORY_SEARCH; semantic fallback not invoked. Coverage evidence_complete=True.</t>
        </is>
      </c>
      <c r="O42" s="2" t="n">
        <v>41</v>
      </c>
      <c r="P42" s="2" t="inlineStr">
        <is>
          <t>81</t>
        </is>
      </c>
      <c r="Q42" s="2" t="inlineStr">
        <is>
          <t>Applicability</t>
        </is>
      </c>
      <c r="R42" s="2" t="inlineStr">
        <is>
          <t>Advanced</t>
        </is>
      </c>
      <c r="S42" s="2" t="inlineStr">
        <is>
          <t>21 CFR 81.30(r)</t>
        </is>
      </c>
      <c r="T42" s="2" t="n">
        <v>0</v>
      </c>
      <c r="U42" s="2" t="n">
        <v>0</v>
      </c>
      <c r="V42" s="2" t="n">
        <v>0</v>
      </c>
      <c r="W42" s="2" t="n">
        <v>0</v>
      </c>
      <c r="X42" s="2" t="n">
        <v>1</v>
      </c>
      <c r="Y42" s="2" t="inlineStr">
        <is>
          <t>Generated answer</t>
        </is>
      </c>
      <c r="Z42" s="2" t="inlineStr">
        <is>
          <t>initial valid -&gt; final valid</t>
        </is>
      </c>
      <c r="AA42" s="2" t="inlineStr">
        <is>
          <t>[1] = FDA Guidance: Draft Guidance for Industry: Lead in Cosmetic Lip Products and Externally Applied Cosmetics: Recommended Maximum Level (draft, 2016-12-22, Docket FDA-2014-D-2275)</t>
        </is>
      </c>
      <c r="AB42" s="2" t="inlineStr">
        <is>
          <t>NOT EVALUATED</t>
        </is>
      </c>
      <c r="AC42" s="2" t="n"/>
      <c r="AD42" s="2" t="inlineStr">
        <is>
          <t>Cannot be verified: the answer declines, and neither the pipeline state nor the retrieved evidence establishes whether the question could have been answered</t>
        </is>
      </c>
      <c r="AE42" s="3" t="n">
        <v>6.107</v>
      </c>
      <c r="AF42" s="3" t="n">
        <v>2.048</v>
      </c>
      <c r="AG42" s="3" t="n">
        <v>4.054</v>
      </c>
      <c r="AH42" s="3" t="n">
        <v>0.002</v>
      </c>
      <c r="AI42" s="2" t="inlineStr"/>
    </row>
    <row r="43">
      <c r="A43" s="2" t="inlineStr">
        <is>
          <t>COS-82.6-Q1</t>
        </is>
      </c>
      <c r="B43" s="2" t="inlineStr">
        <is>
          <t>We make an aqueous mixture of certified FD&amp;C straight colors preserved with sodium benzoate. Can it be certified for food, drug and cosmetic use?</t>
        </is>
      </c>
      <c r="C43" s="2" t="inlineStr">
        <is>
          <t>§ 82.6(a): a mixture with no subpart C or D straight color may be certified if (1) each coal-tar color comes from a previously certified batch unchanged except by mixing, (2) each diluent is harmless and suitable, and (3) no nonnutritive diluent is present except resins, natural gum, pectin and, in aqueous solutions or pastes, sodium benzoate up to 1/10 of 1 percent (plus a food-processing exception).</t>
        </is>
      </c>
      <c r="D43" s="2" t="inlineStr">
        <is>
          <t>The FDA requires that certified color additives be declared by their name in the applicable regulations, unless otherwise specified. For example, a certified color additive may be listed by a specific or abbreviated name such as "FD&amp;C Blue No. 1" or "Blue 1." The declaration must include the term "Lake" for the lake of the certified color additive. Additionally, if the color additive is used in food or cosmetics, it must be declared as "Artificial Color," "Artificial Color Added," or "Color Added" (or an equivalent term). If the color additive is not subject to certification and not otherwise required by applicable regulations, it may be declared as "Artificial Color," "Artificial Color Added," or "Color Added." The requirement applies to the common or usual name of the color additive. If the color additive is for external application to shell eggs or for use in coloring a food specified in the requests for certification, the diluent (except sodium benzoate) must be removed and not become a component of the food. The requirement applies to the usual process of manufacturing such food. [4]</t>
        </is>
      </c>
      <c r="E43" s="2" t="inlineStr">
        <is>
          <t>FAIL</t>
        </is>
      </c>
      <c r="F43" s="2" t="inlineStr">
        <is>
          <t>Wrong/off-topic. Mostly describes how certified colors are declared on food labels ('Artificial Color', 'Blue 1'), attributed to 82.6(a), and never states whether the mixture can be certified. The only related fragment garbles the 82.6(a)(3) diluent exception; the key's conditions (each color from a certified batch, harmless diluents, sodium benzoate up to 0.1% in aqueous mixtures) are not given. 82.6(a) was in the retrieved evidence. Fabricated = 1 (bank Instructions rule 3, invented requirement): Food 'Artificial Color' declaration stated as required for cosmetics.</t>
        </is>
      </c>
      <c r="G43" s="3" t="n">
        <v>24.32</v>
      </c>
      <c r="H43" s="4" t="n">
        <v>1435</v>
      </c>
      <c r="I43" s="4" t="n">
        <v>229</v>
      </c>
      <c r="J43" s="2" t="inlineStr">
        <is>
          <t>Qwen/Qwen3-0.6B</t>
        </is>
      </c>
      <c r="K43" s="2" t="inlineStr">
        <is>
          <t>BAAI/bge-small-en-v1.5 (evaluator aligner; semantic retrieval not invoked)</t>
        </is>
      </c>
      <c r="L43" s="2" t="inlineStr">
        <is>
          <t>SUCCESS</t>
        </is>
      </c>
      <c r="M43" s="2" t="inlineStr"/>
      <c r="N43" s="2" t="inlineStr">
        <is>
          <t>Expected CFR section(s) 82.6: all in evidence; cited in answer: 82.6. Evidence (4): FDA Guidance: CVM GFI #223 Small Entity Compliance Guide Declaring Color Additives in Animal Foods (final, 201 [full_text_or]; FDA Guidance: Draft Guidance for Industry: Lead in Cosmetic Lip Products and Externally Applied Cosmetics: Rec [full_text_or]; 21 CFR 82.6(a)(3) [full_text_or]; 21 CFR 82.6(a) [full_text_or]. Query type GENERAL_REGULATORY_SEARCH; semantic fallback not invoked. Coverage evidence_complete=True.</t>
        </is>
      </c>
      <c r="O43" s="2" t="n">
        <v>42</v>
      </c>
      <c r="P43" s="2" t="inlineStr">
        <is>
          <t>82</t>
        </is>
      </c>
      <c r="Q43" s="2" t="inlineStr">
        <is>
          <t>Specific Requirement</t>
        </is>
      </c>
      <c r="R43" s="2" t="inlineStr">
        <is>
          <t>Advanced</t>
        </is>
      </c>
      <c r="S43" s="2" t="inlineStr">
        <is>
          <t>21 CFR 82.6(a)(1)-(3)</t>
        </is>
      </c>
      <c r="T43" s="2" t="n">
        <v>0</v>
      </c>
      <c r="U43" s="2" t="n">
        <v>1</v>
      </c>
      <c r="V43" s="2" t="n">
        <v>0</v>
      </c>
      <c r="W43" s="2" t="n">
        <v>0</v>
      </c>
      <c r="X43" s="2" t="n">
        <v>1</v>
      </c>
      <c r="Y43" s="2" t="inlineStr">
        <is>
          <t>Generated answer</t>
        </is>
      </c>
      <c r="Z43" s="2" t="inlineStr">
        <is>
          <t>initial citation_invalid [invalid_citation] -&gt; final valid; repair applied</t>
        </is>
      </c>
      <c r="AA43" s="2" t="inlineStr">
        <is>
          <t>[4] = 21 CFR 82.6(a)</t>
        </is>
      </c>
      <c r="AB43" s="2" t="inlineStr">
        <is>
          <t>FAIL</t>
        </is>
      </c>
      <c r="AC43" s="2" t="n">
        <v>35</v>
      </c>
      <c r="AD43" s="2" t="inlineStr">
        <is>
          <t>Partially correct: 6 statement(s) could not be verified; 3 statement(s) only partly address the question - e.g. the regulation it corresponds to (FDA Guidance: CVM GFI #223 Small Entity Compliance Guide Declaring Color Additives in Animal Foods (final, 2013-09-27, Docket FDA-2013-D-1088)) is about certif/color</t>
        </is>
      </c>
      <c r="AE43" s="3" t="n">
        <v>24.044</v>
      </c>
      <c r="AF43" s="3" t="n">
        <v>2.045</v>
      </c>
      <c r="AG43" s="3" t="n">
        <v>21.989</v>
      </c>
      <c r="AH43" s="3" t="n">
        <v>0.272</v>
      </c>
      <c r="AI43" s="2" t="inlineStr"/>
    </row>
    <row r="44">
      <c r="A44" s="2" t="inlineStr">
        <is>
          <t>COS-82.50-Q1</t>
        </is>
      </c>
      <c r="B44" s="2" t="inlineStr">
        <is>
          <t>Can a certified FD&amp;C (subpart B) straight color batch be used in cosmetics, and what must it meet?</t>
        </is>
      </c>
      <c r="C44" s="2" t="inlineStr">
        <is>
          <t>§ 82.50: a batch of a straight color listed in subpart B may be certified for use in food, drugs, and cosmetics if it meets § 82.5 and the subpart's specifications for that color. Cosmetic use is then governed by the color's listing and restrictions.</t>
        </is>
      </c>
      <c r="D44" s="2" t="inlineStr">
        <is>
          <t>The generated answer could not be validated against the retrieved regulatory evidence, so it is not shown. The retrieved sources were not verified to answer the question as asked, so their text is not quoted as an answer. Sources consulted: FDA Guidance: Formal Meetings Between the Food and Drug Administration and Sponsors or Requestors of Over-the-Counter Monograph Drugs (final, 2026-07-14, Docket FDA-2022-D-0080), FDA Guidance: CVM GFI #223 Small Entity Compliance Guide Declaring Color Additives in Animal Foods (final, 2013-09-27, Docket FDA-2013-D-1088), 21 CFR 82.1050, 21 CFR 82.2050, 21 CFR 82.6(a).</t>
        </is>
      </c>
      <c r="E44" s="2" t="inlineStr">
        <is>
          <t>FAIL</t>
        </is>
      </c>
      <c r="F44" s="2" t="inlineStr">
        <is>
          <t>No answer delivered: draft degenerate (truncated, invented condition) and withheld. 82.50 was not in the retrieved evidence (82.1050, 82.2050, 82.6(a), guidance), so the key's answer (subpart B batch certifiable for food, drugs and cosmetics if it meets 82.5 and subpart specs) was not provided.</t>
        </is>
      </c>
      <c r="G44" s="3" t="n">
        <v>24.982</v>
      </c>
      <c r="H44" s="4" t="n">
        <v>1386</v>
      </c>
      <c r="I44" s="4" t="n">
        <v>192</v>
      </c>
      <c r="J44" s="2" t="inlineStr">
        <is>
          <t>Qwen/Qwen3-0.6B</t>
        </is>
      </c>
      <c r="K44" s="2" t="inlineStr">
        <is>
          <t>BAAI/bge-small-en-v1.5 (evaluator aligner; semantic retrieval not invoked)</t>
        </is>
      </c>
      <c r="L44" s="2" t="inlineStr">
        <is>
          <t>SUCCESS</t>
        </is>
      </c>
      <c r="M44" s="2" t="inlineStr"/>
      <c r="N44" s="2" t="inlineStr">
        <is>
          <t>Expected CFR section(s) 82.50: none in evidence; none cited in answer. Evidence (5): FDA Guidance: Formal Meetings Between the Food and Drug Administration and Sponsors or Requestors of Over-the- [full_text_or]; FDA Guidance: CVM GFI #223 Small Entity Compliance Guide Declaring Color Additives in Animal Foods (final, 201 [full_text_or]; 21 CFR 82.1050 [full_text_or]; 21 CFR 82.2050 [full_text_or]; 21 CFR 82.6(a) [full_text_or]. Query type GENERAL_REGULATORY_SEARCH; semantic fallback not invoked. Coverage evidence_complete=True.</t>
        </is>
      </c>
      <c r="O44" s="2" t="n">
        <v>43</v>
      </c>
      <c r="P44" s="2" t="inlineStr">
        <is>
          <t>82</t>
        </is>
      </c>
      <c r="Q44" s="2" t="inlineStr">
        <is>
          <t>Applicability</t>
        </is>
      </c>
      <c r="R44" s="2" t="inlineStr">
        <is>
          <t>Basic</t>
        </is>
      </c>
      <c r="S44" s="2" t="inlineStr">
        <is>
          <t>21 CFR 82.50</t>
        </is>
      </c>
      <c r="T44" s="2" t="n">
        <v>0</v>
      </c>
      <c r="U44" s="2" t="n">
        <v>0</v>
      </c>
      <c r="V44" s="2" t="n">
        <v>0</v>
      </c>
      <c r="W44" s="2" t="n">
        <v>0</v>
      </c>
      <c r="X44" s="2" t="n">
        <v>1</v>
      </c>
      <c r="Y44" s="2" t="inlineStr">
        <is>
          <t>Withheld by validator (no answer shown)</t>
        </is>
      </c>
      <c r="Z44" s="2" t="inlineStr">
        <is>
          <t>initial degenerate [degenerate_output, truncated, invented_condition, unsupported_premise] -&gt; final incomplete; repair applied; fallback unvalidated_answer_withheld; stop repetition; generation hit token allowance</t>
        </is>
      </c>
      <c r="AA44" s="2" t="inlineStr"/>
      <c r="AB44" s="2" t="inlineStr">
        <is>
          <t>FAIL</t>
        </is>
      </c>
      <c r="AC44" s="2" t="n">
        <v>0</v>
      </c>
      <c r="AD44" s="2" t="inlineStr">
        <is>
          <t>Incorrect refusal: the generated answer failed validation and was suppressed, so the question went unanswered - the suppression was right, the outcome is still no answer</t>
        </is>
      </c>
      <c r="AE44" s="3" t="n">
        <v>24.977</v>
      </c>
      <c r="AF44" s="3" t="n">
        <v>2.082</v>
      </c>
      <c r="AG44" s="3" t="n">
        <v>22.886</v>
      </c>
      <c r="AH44" s="3" t="n">
        <v>0.001</v>
      </c>
      <c r="AI44" s="2" t="inlineStr"/>
    </row>
    <row r="45">
      <c r="A45" s="2" t="inlineStr">
        <is>
          <t>COS-82.101-Q1</t>
        </is>
      </c>
      <c r="B45" s="2" t="inlineStr">
        <is>
          <t>We supply FD&amp;C Blue No. 1 to cosmetic makers. Under Part 82, what specifications must a batch meet for certification?</t>
        </is>
      </c>
      <c r="C45" s="2" t="inlineStr">
        <is>
          <t>§ 82.101 requires FD&amp;C Blue No. 1 to conform in identity and specifications to § 74.101(a)(1) and (b). Under § 82.50 a subpart B batch may be certified if it also meets § 82.5 (lead not more than 0.001 percent, arsenic as As2O3 not more than 0.00014 percent, other heavy metals not more than trace).</t>
        </is>
      </c>
      <c r="D45" s="2" t="inlineStr">
        <is>
          <t>Under Part 82, a batch must conform to the requirements of § 82.1104 for certification of D&amp;C Blue No. 4, unless otherwise specified. A batch of a straight color listed in subpart B, C, or D may be certified for use in drugs and cosmetics if it conforms to the requirements of § 82.5 and the specifications set forth in this subpart. A batch of a mixture containing no straight color listed in subpart C or D may be certified for use in food, drugs, and cosmetics if it conforms to the requirements of § 82.5 and the specifications in this subpart. The available regulatory sources do not provide enough information to answer this question. [1]
Evidence limit: not all of the retrieved text of 21 CFR part 82 fit in the evidence supplied for this answer (15 paragraphs left out). The answer above does not cover that text; consult the full provisions.</t>
        </is>
      </c>
      <c r="E45" s="2" t="inlineStr">
        <is>
          <t>PARTIALLY FAIL</t>
        </is>
      </c>
      <c r="F45" s="2" t="inlineStr">
        <is>
          <t>Partly correct. Correctly says a batch must meet 82.5 and the subpart's specifications, but points to 82.1104 (D&amp;C Blue No. 4) for FD&amp;C Blue No. 1, misstates subpart B certification as 'drugs and cosmetics' (82.50 allows food, drugs and cosmetics), omits the 74.101(a)(1)/(b) identity cross-reference and the 82.5 limits, and ends with 'not enough information'. Cited 82.1104 is the wrong section. 82.101 and 82.50 were both in the retrieved evidence.</t>
        </is>
      </c>
      <c r="G45" s="3" t="n">
        <v>30.909</v>
      </c>
      <c r="H45" s="4" t="n">
        <v>3065</v>
      </c>
      <c r="I45" s="4" t="n">
        <v>153</v>
      </c>
      <c r="J45" s="2" t="inlineStr">
        <is>
          <t>Qwen/Qwen3-0.6B</t>
        </is>
      </c>
      <c r="K45" s="2" t="inlineStr">
        <is>
          <t>BAAI/bge-small-en-v1.5 (evaluator aligner; semantic retrieval not invoked)</t>
        </is>
      </c>
      <c r="L45" s="2" t="inlineStr">
        <is>
          <t>SUCCESS</t>
        </is>
      </c>
      <c r="M45" s="2" t="inlineStr"/>
      <c r="N45" s="2" t="inlineStr">
        <is>
          <t>Expected CFR section(s) 82.101, 82.50: all in evidence; none cited in answer. Evidence (24): 21 CFR 82.1104 [exact_cfr]; 21 CFR 82.101 [exact_cfr]; 21 CFR 82.102 [exact_cfr]; 21 CFR 82.1050 [exact_cfr]; 21 CFR 82.5 [exact_cfr]; 21 CFR 82.2050 [exact_cfr]; 21 CFR 82.50 [exact_cfr]; 21 CFR 82.6(a) [exact_cfr]; 21 CFR 82.1206 [exact_cfr]; 21 CFR 82.1254 [exact_cfr]; 21 CFR 82.1260 [exact_cfr]; 21 CFR 82.1261 [exact_cfr]; 21 CFR 82.1317 [exact_cfr]; 21 CFR 82.1331 [exact_cfr]; 21 CFR 82.1707 [exact_cfr]; 21 CFR 82.1708 [exact_cfr]; 21 CFR 82.304 [exact_cfr]; 21 CFR 82.2707a [exact_cfr]; 21 CFR 82.1306(a) [exact_cfr]; 21 CFR 82.1307(a) [exact_cfr]; 21 CFR 82.1321 [exact_cfr]; 21 CFR 82.1322 [exact_cfr]; 21 CFR 82.1327 [exact_cfr]; 21 CFR 82.1328 [exact_cfr]. Query type EXACT_CFR; semantic fallback not invoked. Coverage evidence_complete=False.</t>
        </is>
      </c>
      <c r="O45" s="2" t="n">
        <v>44</v>
      </c>
      <c r="P45" s="2" t="inlineStr">
        <is>
          <t>82</t>
        </is>
      </c>
      <c r="Q45" s="2" t="inlineStr">
        <is>
          <t>Applicability</t>
        </is>
      </c>
      <c r="R45" s="2" t="inlineStr">
        <is>
          <t>Basic</t>
        </is>
      </c>
      <c r="S45" s="2" t="inlineStr">
        <is>
          <t>21 CFR 82.101; 21 CFR 82.50</t>
        </is>
      </c>
      <c r="T45" s="2" t="n">
        <v>0</v>
      </c>
      <c r="U45" s="2" t="n">
        <v>0</v>
      </c>
      <c r="V45" s="2" t="n">
        <v>1</v>
      </c>
      <c r="W45" s="2" t="n">
        <v>1</v>
      </c>
      <c r="X45" s="2" t="n">
        <v>1</v>
      </c>
      <c r="Y45" s="2" t="inlineStr">
        <is>
          <t>Generated answer</t>
        </is>
      </c>
      <c r="Z45" s="2" t="inlineStr">
        <is>
          <t>initial valid [uncited_statement, low_overlap_with_cited_source] -&gt; final valid</t>
        </is>
      </c>
      <c r="AA45" s="2" t="inlineStr">
        <is>
          <t>[1] = 21 CFR 82.1104</t>
        </is>
      </c>
      <c r="AB45" s="2" t="inlineStr">
        <is>
          <t>FAIL</t>
        </is>
      </c>
      <c r="AC45" s="2" t="n">
        <v>0</v>
      </c>
      <c r="AD45" s="2" t="inlineStr">
        <is>
          <t>Incorrect: 1 statement(s) that address the question are contradicted by the evidence: the answer conditions the requirement on 'unless', which this evidence does not (compared with 21 CFR 82.1104 (SOURCE 1))</t>
        </is>
      </c>
      <c r="AE45" s="3" t="n">
        <v>30.81</v>
      </c>
      <c r="AF45" s="3" t="n">
        <v>0.346</v>
      </c>
      <c r="AG45" s="3" t="n">
        <v>30.417</v>
      </c>
      <c r="AH45" s="3" t="n">
        <v>0.093</v>
      </c>
      <c r="AI45" s="2" t="inlineStr"/>
    </row>
    <row r="46">
      <c r="A46" s="2" t="inlineStr">
        <is>
          <t>COS-82.203-Q1</t>
        </is>
      </c>
      <c r="B46" s="2" t="inlineStr">
        <is>
          <t>We supply FD&amp;C Green No. 3 to cosmetic makers. Under Part 82, what specifications must a batch meet for certification?</t>
        </is>
      </c>
      <c r="C46" s="2" t="inlineStr">
        <is>
          <t>§ 82.203 requires FD&amp;C Green No. 3 to conform in identity and specifications to § 74.203(a)(1) and (b). Under § 82.50 a subpart B batch may be certified if it also meets § 82.5 (lead not more than 0.001 percent, arsenic as As2O3 not more than 0.00014 percent, other heavy metals not more than trace).</t>
        </is>
      </c>
      <c r="D46" s="2" t="inlineStr">
        <is>
          <t>The generated answer could not be validated against the retrieved regulatory evidence, so it is not shown. The retrieved sources were not verified to answer the question as asked, so their text is not quoted as an answer. Sources consulted: 21 CFR 82.1206, 21 CFR 82.203, 21 CFR 82.1205, 21 CFR 82.1050, 21 CFR 82.5 and 19 more.
Evidence limit: not all of the retrieved text of 21 CFR part 82 fit in the evidence supplied for this answer (15 paragraphs left out). The answer above does not cover that text; consult the full provisions.</t>
        </is>
      </c>
      <c r="E46" s="2" t="inlineStr">
        <is>
          <t>FAIL</t>
        </is>
      </c>
      <c r="F46" s="2" t="inlineStr">
        <is>
          <t>No answer delivered: draft degenerate (truncated, repeated, invented condition) and withheld, although 82.203, 82.5 and 82.50 were in the retrieved evidence. The key's answer (conform to 74.203(a)(1) and (b); 82.5 lead/arsenic/heavy-metal limits) was not provided.</t>
        </is>
      </c>
      <c r="G46" s="3" t="n">
        <v>56.254</v>
      </c>
      <c r="H46" s="4" t="n">
        <v>3059</v>
      </c>
      <c r="I46" s="4" t="n">
        <v>416</v>
      </c>
      <c r="J46" s="2" t="inlineStr">
        <is>
          <t>Qwen/Qwen3-0.6B</t>
        </is>
      </c>
      <c r="K46" s="2" t="inlineStr">
        <is>
          <t>BAAI/bge-small-en-v1.5 (evaluator aligner; semantic retrieval not invoked)</t>
        </is>
      </c>
      <c r="L46" s="2" t="inlineStr">
        <is>
          <t>SUCCESS</t>
        </is>
      </c>
      <c r="M46" s="2" t="inlineStr"/>
      <c r="N46" s="2" t="inlineStr">
        <is>
          <t>Expected CFR section(s) 82.203, 82.50: all in evidence; none cited in answer. Evidence (24): 21 CFR 82.1206 [exact_cfr]; 21 CFR 82.203 [exact_cfr]; 21 CFR 82.1205 [exact_cfr]; 21 CFR 82.1050 [exact_cfr]; 21 CFR 82.5 [exact_cfr]; 21 CFR 82.2050 [exact_cfr]; 21 CFR 82.50 [exact_cfr]; 21 CFR 82.6(a) [exact_cfr]; 21 CFR 82.1104 [exact_cfr]; 21 CFR 82.1254 [exact_cfr]; 21 CFR 82.1260 [exact_cfr]; 21 CFR 82.1261 [exact_cfr]; 21 CFR 82.1317 [exact_cfr]; 21 CFR 82.1331 [exact_cfr]; 21 CFR 82.1707 [exact_cfr]; 21 CFR 82.1708 [exact_cfr]; 21 CFR 82.304 [exact_cfr]; 21 CFR 82.2707a [exact_cfr]; 21 CFR 82.101 [exact_cfr]; 21 CFR 82.102 [exact_cfr]; 21 CFR 82.1306(a) [exact_cfr]; 21 CFR 82.1307(a) [exact_cfr]; 21 CFR 82.1321 [exact_cfr]; 21 CFR 82.1322 [exact_cfr]. Query type EXACT_CFR; semantic fallback not invoked. Coverage evidence_complete=False.</t>
        </is>
      </c>
      <c r="O46" s="2" t="n">
        <v>45</v>
      </c>
      <c r="P46" s="2" t="inlineStr">
        <is>
          <t>82</t>
        </is>
      </c>
      <c r="Q46" s="2" t="inlineStr">
        <is>
          <t>Applicability</t>
        </is>
      </c>
      <c r="R46" s="2" t="inlineStr">
        <is>
          <t>Basic</t>
        </is>
      </c>
      <c r="S46" s="2" t="inlineStr">
        <is>
          <t>21 CFR 82.203; 21 CFR 82.50</t>
        </is>
      </c>
      <c r="T46" s="2" t="n">
        <v>0</v>
      </c>
      <c r="U46" s="2" t="n">
        <v>0</v>
      </c>
      <c r="V46" s="2" t="n">
        <v>0</v>
      </c>
      <c r="W46" s="2" t="n">
        <v>0</v>
      </c>
      <c r="X46" s="2" t="n">
        <v>1</v>
      </c>
      <c r="Y46" s="2" t="inlineStr">
        <is>
          <t>Withheld by validator (no answer shown)</t>
        </is>
      </c>
      <c r="Z46" s="2" t="inlineStr">
        <is>
          <t>initial degenerate [degenerate_output, truncated, uncited_statement, unsupported_figure, invented_condition, qualifier_dropped, qualifier_misapplied, repeated_statement] -&gt; final unsupported; repair applied; fallback unvalidated_answer_withheld; stop repetition; generation hit token allowance</t>
        </is>
      </c>
      <c r="AA46" s="2" t="inlineStr"/>
      <c r="AB46" s="2" t="inlineStr">
        <is>
          <t>FAIL</t>
        </is>
      </c>
      <c r="AC46" s="2" t="n">
        <v>0</v>
      </c>
      <c r="AD46" s="2" t="inlineStr">
        <is>
          <t>Incorrect refusal: the generated answer failed validation and was suppressed, so the question went unanswered - the suppression was right, the outcome is still no answer</t>
        </is>
      </c>
      <c r="AE46" s="3" t="n">
        <v>56.248</v>
      </c>
      <c r="AF46" s="3" t="n">
        <v>0.46</v>
      </c>
      <c r="AG46" s="3" t="n">
        <v>55.765</v>
      </c>
      <c r="AH46" s="3" t="n">
        <v>0.002</v>
      </c>
      <c r="AI46" s="2" t="inlineStr"/>
    </row>
    <row r="47">
      <c r="A47" s="2" t="inlineStr">
        <is>
          <t>COS-82.304-Q1</t>
        </is>
      </c>
      <c r="B47" s="2" t="inlineStr">
        <is>
          <t>We supply FD&amp;C Red No. 4 to cosmetic makers. Under Part 82, what specifications must a batch meet for certification, and is its use restricted?</t>
        </is>
      </c>
      <c r="C47" s="2" t="inlineStr">
        <is>
          <t>§ 82.304 requires FD&amp;C Red No. 4 to conform in identity and specifications to § 74.1304(a)(1) and (b). § 82.304 also restricts it to use in externally applied drugs and cosmetics. Under § 82.50 a subpart B batch may be certified if it also meets § 82.5 (lead not more than 0.001 percent, arsenic as As2O3 not more than 0.00014 percent, other heavy metals not more than trace).</t>
        </is>
      </c>
      <c r="D47" s="2" t="inlineStr">
        <is>
          <t>The generated answer could not be validated against the retrieved regulatory evidence, so it is not shown. The retrieved sources were not verified to answer the question as asked, so their text is not quoted as an answer. Sources consulted: 21 CFR 82.1050, 21 CFR 82.5, 21 CFR 82.5(a), 21 CFR 82.5(b), 21 CFR 82.2050 and 19 more.
Evidence limit: not all of the retrieved text of 21 CFR part 82 fit in the evidence supplied for this answer (17 paragraphs left out). The answer above does not cover that text; consult the full provisions.</t>
        </is>
      </c>
      <c r="E47" s="2" t="inlineStr">
        <is>
          <t>FAIL</t>
        </is>
      </c>
      <c r="F47" s="2" t="inlineStr">
        <is>
          <t>No answer delivered: draft degenerate and withheld, although 82.304 and 82.50 were in the retrieved evidence. The key's answer (74.1304 specs; restricted to externally applied drugs and cosmetics; 82.5 limits) was not provided.</t>
        </is>
      </c>
      <c r="G47" s="3" t="n">
        <v>38.853</v>
      </c>
      <c r="H47" s="4" t="n">
        <v>3082</v>
      </c>
      <c r="I47" s="4" t="n">
        <v>336</v>
      </c>
      <c r="J47" s="2" t="inlineStr">
        <is>
          <t>Qwen/Qwen3-0.6B</t>
        </is>
      </c>
      <c r="K47" s="2" t="inlineStr">
        <is>
          <t>BAAI/bge-small-en-v1.5 (evaluator aligner; semantic retrieval not invoked)</t>
        </is>
      </c>
      <c r="L47" s="2" t="inlineStr">
        <is>
          <t>SUCCESS</t>
        </is>
      </c>
      <c r="M47" s="2" t="inlineStr"/>
      <c r="N47" s="2" t="inlineStr">
        <is>
          <t>Expected CFR section(s) 82.304, 82.50: all in evidence; none cited in answer. Evidence (24): 21 CFR 82.1050 [exact_cfr]; 21 CFR 82.5 [exact_cfr]; 21 CFR 82.5(a) [exact_cfr]; 21 CFR 82.5(b) [exact_cfr]; 21 CFR 82.2050 [exact_cfr]; 21 CFR 82.50 [exact_cfr]; 21 CFR 82.1206 [exact_cfr]; 21 CFR 82.1104 [exact_cfr]; 21 CFR 82.1254 [exact_cfr]; 21 CFR 82.1260 [exact_cfr]; 21 CFR 82.1261 [exact_cfr]; 21 CFR 82.1317 [exact_cfr]; 21 CFR 82.1331 [exact_cfr]; 21 CFR 82.1707 [exact_cfr]; 21 CFR 82.1708 [exact_cfr]; 21 CFR 82.304 [exact_cfr]; 21 CFR 82.2707a [exact_cfr]; 21 CFR 82.6(a) [exact_cfr]; 21 CFR 82.1255(a) [exact_cfr]; 21 CFR 82.101 [exact_cfr]; 21 CFR 82.102 [exact_cfr]; 21 CFR 82.1306(a) [exact_cfr]; 21 CFR 82.1307(a) [exact_cfr]; 21 CFR 82.1321 [exact_cfr]. Query type EXACT_CFR; semantic fallback not invoked. Coverage evidence_complete=False.</t>
        </is>
      </c>
      <c r="O47" s="2" t="n">
        <v>46</v>
      </c>
      <c r="P47" s="2" t="inlineStr">
        <is>
          <t>82</t>
        </is>
      </c>
      <c r="Q47" s="2" t="inlineStr">
        <is>
          <t>Applicability</t>
        </is>
      </c>
      <c r="R47" s="2" t="inlineStr">
        <is>
          <t>Basic</t>
        </is>
      </c>
      <c r="S47" s="2" t="inlineStr">
        <is>
          <t>21 CFR 82.304; 21 CFR 82.50</t>
        </is>
      </c>
      <c r="T47" s="2" t="n">
        <v>0</v>
      </c>
      <c r="U47" s="2" t="n">
        <v>0</v>
      </c>
      <c r="V47" s="2" t="n">
        <v>0</v>
      </c>
      <c r="W47" s="2" t="n">
        <v>0</v>
      </c>
      <c r="X47" s="2" t="n">
        <v>1</v>
      </c>
      <c r="Y47" s="2" t="inlineStr">
        <is>
          <t>Withheld by validator (no answer shown)</t>
        </is>
      </c>
      <c r="Z47" s="2" t="inlineStr">
        <is>
          <t>initial degenerate [degenerate_output, truncated, provision_citation_mismatch, invented_condition, qualifier_dropped, qualifier_misapplied, repeated_statement] -&gt; final unsupported; repair applied; fallback unvalidated_answer_withheld; stop repetition; generation hit token allowance</t>
        </is>
      </c>
      <c r="AA47" s="2" t="inlineStr"/>
      <c r="AB47" s="2" t="inlineStr">
        <is>
          <t>FAIL</t>
        </is>
      </c>
      <c r="AC47" s="2" t="n">
        <v>0</v>
      </c>
      <c r="AD47" s="2" t="inlineStr">
        <is>
          <t>Incorrect refusal: the generated answer failed validation and was suppressed, so the question went unanswered - the suppression was right, the outcome is still no answer</t>
        </is>
      </c>
      <c r="AE47" s="3" t="n">
        <v>38.849</v>
      </c>
      <c r="AF47" s="3" t="n">
        <v>0.388</v>
      </c>
      <c r="AG47" s="3" t="n">
        <v>38.436</v>
      </c>
      <c r="AH47" s="3" t="n">
        <v>0.001</v>
      </c>
      <c r="AI47" s="2" t="inlineStr"/>
    </row>
    <row r="48">
      <c r="A48" s="2" t="inlineStr">
        <is>
          <t>COS-82.1104-Q1</t>
        </is>
      </c>
      <c r="B48" s="2" t="inlineStr">
        <is>
          <t>We're a small brand formulating a tinted lip balm. Can we use D&amp;C Blue No. 4 in it, and what does the regulation require of the color itself?</t>
        </is>
      </c>
      <c r="C48" s="2" t="inlineStr">
        <is>
          <t>No. 21 CFR 82.1104 restricts D&amp;C Blue No. 4 to use in externally applied drugs and cosmetics. A tinted lip balm is applied to the lips or a mucous-membrane surface, which 70.3(v) excludes from 'externally applied'. The color must also conform to § 74.1104(a)(1) and (b).</t>
        </is>
      </c>
      <c r="D48" s="2" t="inlineStr">
        <is>
          <t>The regulation requires that color additives in products be declared by their name listed in the applicable regulation, unless otherwise specified. For example, a certified color additive may be listed by a specific or abbreviated name such as "FD&amp;C Blue No. 1" or "Blue 1." Additionally, the declaration must include the term "Lake" for the lake of the certified color additive. If the color additive is not subject to certification, it may be declared as "Artificial Color," "Artificial Color Added," or "Color Added" (or by an equally informative term). If the color additive is replaced, the new color additive must conform to the regulations. The requirement applies to products formulated as a lip protectant, and the statement may be followed by optional statements about protecting from drying effects. [1][4]</t>
        </is>
      </c>
      <c r="E48" s="2" t="inlineStr">
        <is>
          <t>FAIL</t>
        </is>
      </c>
      <c r="F48" s="2" t="inlineStr">
        <is>
          <t>Wrong/off-topic. Describes how color additives are declared on labels and OTC lip-protectant statements (347.50) instead of answering. Key: No - 82.1104 restricts D&amp;C Blue No. 4 to externally applied products and 70.3(v) excludes lips. 82.1104 was not in the retrieved evidence. Fabricated = 1 (bank Instructions rule 3, invented requirement): Food/OTC lip-protectant declaration rules stated as the regulation's requirement for the lip balm.</t>
        </is>
      </c>
      <c r="G48" s="3" t="n">
        <v>18.72</v>
      </c>
      <c r="H48" s="4" t="n">
        <v>1475</v>
      </c>
      <c r="I48" s="4" t="n">
        <v>165</v>
      </c>
      <c r="J48" s="2" t="inlineStr">
        <is>
          <t>Qwen/Qwen3-0.6B</t>
        </is>
      </c>
      <c r="K48" s="2" t="inlineStr">
        <is>
          <t>BAAI/bge-small-en-v1.5 (evaluator aligner; semantic retrieval not invoked)</t>
        </is>
      </c>
      <c r="L48" s="2" t="inlineStr">
        <is>
          <t>SUCCESS</t>
        </is>
      </c>
      <c r="M48" s="2" t="inlineStr"/>
      <c r="N48" s="2" t="inlineStr">
        <is>
          <t>Expected CFR section(s) 70.3, 82.1104: none in evidence; none cited in answer. Evidence (4): FDA Guidance: CVM GFI #223 Small Entity Compliance Guide Declaring Color Additives in Animal Foods (final, 201 [full_text_or]; FDA Guidance: Replacing Color Additives in Approved or Marketed Drug Products: Draft Guidance for Industry (dr [full_text_or]; 21 CFR 347.50(a)(2) [full_text_or]; 21 CFR 347.50(b)(2)(ii) [full_text_or]. Query type GENERAL_REGULATORY_SEARCH; semantic fallback not invoked. Coverage evidence_complete=True.</t>
        </is>
      </c>
      <c r="O48" s="2" t="n">
        <v>47</v>
      </c>
      <c r="P48" s="2" t="inlineStr">
        <is>
          <t>82</t>
        </is>
      </c>
      <c r="Q48" s="2" t="inlineStr">
        <is>
          <t>Applicability</t>
        </is>
      </c>
      <c r="R48" s="2" t="inlineStr">
        <is>
          <t>Basic</t>
        </is>
      </c>
      <c r="S48" s="2" t="inlineStr">
        <is>
          <t>21 CFR 82.1104; 21 CFR 70.3(v)</t>
        </is>
      </c>
      <c r="T48" s="2" t="n">
        <v>0</v>
      </c>
      <c r="U48" s="2" t="n">
        <v>1</v>
      </c>
      <c r="V48" s="2" t="n">
        <v>0</v>
      </c>
      <c r="W48" s="2" t="n">
        <v>0</v>
      </c>
      <c r="X48" s="2" t="n">
        <v>1</v>
      </c>
      <c r="Y48" s="2" t="inlineStr">
        <is>
          <t>Generated answer</t>
        </is>
      </c>
      <c r="Z48" s="2" t="inlineStr">
        <is>
          <t>initial valid -&gt; final valid</t>
        </is>
      </c>
      <c r="AA48" s="2" t="inlineStr">
        <is>
          <t>[1] = FDA Guidance: CVM GFI #223 Small Entity Compliance Guide Declaring Color Additives in Animal Foods (final, 2013-09-27, Docket FDA-2013-D-1088); [4] = 21 CFR 347.50(b)(2)(ii)</t>
        </is>
      </c>
      <c r="AB48" s="2" t="inlineStr">
        <is>
          <t>FAIL</t>
        </is>
      </c>
      <c r="AC48" s="2" t="n">
        <v>30</v>
      </c>
      <c r="AD48" s="2" t="inlineStr">
        <is>
          <t>Partially correct: 3 statement(s) could not be verified; 6 statement(s) only partly address the question - e.g. the regulation it corresponds to (FDA Guidance: CVM GFI #223 Small Entity Compliance Guide Declaring Color Additives in Animal Foods (final, 2013-09-27, Docket FDA-2013-D-1088), FDA Guidance: Replacing Color Additives in Approved or Marketed Drug Products: Draft Guidance for Industry (d…</t>
        </is>
      </c>
      <c r="AE48" s="3" t="n">
        <v>18.549</v>
      </c>
      <c r="AF48" s="3" t="n">
        <v>2.68</v>
      </c>
      <c r="AG48" s="3" t="n">
        <v>15.862</v>
      </c>
      <c r="AH48" s="3" t="n">
        <v>0.168</v>
      </c>
      <c r="AI48" s="2" t="inlineStr"/>
    </row>
    <row r="49">
      <c r="A49" s="2" t="inlineStr">
        <is>
          <t>COS-82.1205-Q1</t>
        </is>
      </c>
      <c r="B49" s="2" t="inlineStr">
        <is>
          <t>We're a 10-person cosmetics maker. Does 82.1205 restrict where D&amp;C Green No. 5 can go, or set a limit for our shampoo?</t>
        </is>
      </c>
      <c r="C49" s="2" t="inlineStr">
        <is>
          <t>21 CFR 82.1205 contains one sentence: D&amp;C Green No. 5 shall conform in identity and specifications to § 74.1205(a)(1) and (b)(2). It states no use restriction or quantitative limit. Under 82.1050 a batch of a straight color listed in Subpart C may be certified for use only in drugs and cosmetics if it conforms to 82.5 and the subpart specifications.</t>
        </is>
      </c>
      <c r="D49" s="2" t="inlineStr">
        <is>
          <t>The generated answer could not be validated against the retrieved regulatory evidence, so it is not shown. The retrieved sources were not verified to answer the question as asked, so their text is not quoted as an answer. Sources consulted: 21 CFR 82.1205.</t>
        </is>
      </c>
      <c r="E49" s="2" t="inlineStr">
        <is>
          <t>FAIL</t>
        </is>
      </c>
      <c r="F49" s="2" t="inlineStr">
        <is>
          <t>No answer delivered: the draft refused despite evidence and was withheld. 82.1205 was the only source retrieved. The key's answer (one sentence: conform to 74.1205(a)(1) and (b)(2); no use restriction or limit; 82.1050 drugs-and-cosmetics certification) was not provided.</t>
        </is>
      </c>
      <c r="G49" s="3" t="n">
        <v>2.347</v>
      </c>
      <c r="H49" s="4" t="n">
        <v>700</v>
      </c>
      <c r="I49" s="4" t="n">
        <v>17</v>
      </c>
      <c r="J49" s="2" t="inlineStr">
        <is>
          <t>Qwen/Qwen3-0.6B</t>
        </is>
      </c>
      <c r="K49" s="2" t="inlineStr">
        <is>
          <t>BAAI/bge-small-en-v1.5 (evaluator aligner; semantic retrieval not invoked)</t>
        </is>
      </c>
      <c r="L49" s="2" t="inlineStr">
        <is>
          <t>SUCCESS</t>
        </is>
      </c>
      <c r="M49" s="2" t="inlineStr"/>
      <c r="N49" s="2" t="inlineStr">
        <is>
          <t>Expected CFR section(s) 82.1050, 82.1205: missing from evidence: 82.1050; none cited in answer. Evidence (1): 21 CFR 82.1205 [exact_cfr]. Query type EXACT_CFR; semantic fallback not invoked. Coverage evidence_complete=True.</t>
        </is>
      </c>
      <c r="O49" s="2" t="n">
        <v>48</v>
      </c>
      <c r="P49" s="2" t="inlineStr">
        <is>
          <t>82</t>
        </is>
      </c>
      <c r="Q49" s="2" t="inlineStr">
        <is>
          <t>Specific Requirement</t>
        </is>
      </c>
      <c r="R49" s="2" t="inlineStr">
        <is>
          <t>Intermediate</t>
        </is>
      </c>
      <c r="S49" s="2" t="inlineStr">
        <is>
          <t>21 CFR 82.1205; 21 CFR 82.1050</t>
        </is>
      </c>
      <c r="T49" s="2" t="n">
        <v>0</v>
      </c>
      <c r="U49" s="2" t="n">
        <v>0</v>
      </c>
      <c r="V49" s="2" t="n">
        <v>0</v>
      </c>
      <c r="W49" s="2" t="n">
        <v>0</v>
      </c>
      <c r="X49" s="2" t="n">
        <v>1</v>
      </c>
      <c r="Y49" s="2" t="inlineStr">
        <is>
          <t>Withheld by validator (no answer shown)</t>
        </is>
      </c>
      <c r="Z49" s="2" t="inlineStr">
        <is>
          <t>initial incomplete [refusal_with_evidence, low_overlap_with_cited_source] -&gt; final incomplete; repair applied; fallback unvalidated_answer_withheld</t>
        </is>
      </c>
      <c r="AA49" s="2" t="inlineStr"/>
      <c r="AB49" s="2" t="inlineStr">
        <is>
          <t>FAIL</t>
        </is>
      </c>
      <c r="AC49" s="2" t="n">
        <v>0</v>
      </c>
      <c r="AD49" s="2" t="inlineStr">
        <is>
          <t>Incorrect refusal: the generated answer failed validation and was suppressed, so the question went unanswered - the suppression was right, the outcome is still no answer</t>
        </is>
      </c>
      <c r="AE49" s="3" t="n">
        <v>2.344</v>
      </c>
      <c r="AF49" s="3" t="n">
        <v>0.228</v>
      </c>
      <c r="AG49" s="3" t="n">
        <v>2.112</v>
      </c>
      <c r="AH49" s="3" t="n">
        <v>0</v>
      </c>
      <c r="AI49" s="2" t="inlineStr"/>
    </row>
    <row r="50">
      <c r="A50" s="2" t="inlineStr">
        <is>
          <t>COS-82.1206-Q1</t>
        </is>
      </c>
      <c r="B50" s="2" t="inlineStr">
        <is>
          <t>We're a small brand formulating a hair pomade. Can we use D&amp;C Green No. 6 in it, and what does the regulation require of the color itself?</t>
        </is>
      </c>
      <c r="C50" s="2" t="inlineStr">
        <is>
          <t>Within the restriction. 21 CFR 82.1206 restricts D&amp;C Green No. 6 to use in externally applied drugs and cosmetics; a hair pomade applied only to external parts of the body fits that (70.3(v)). The color must conform in identity and specifications to § 74.1206(a) and (b). The section sets no quantitative limit.</t>
        </is>
      </c>
      <c r="D50" s="2" t="inlineStr">
        <is>
          <t>The regulation requires that color additives in hair pomades be declared by their name or abbreviated name, with the "FD&amp;C" prefix or "No." not required. Additionally, the regulation requires that color additives not subject to certification be declared as "Artificial Color," "Artificial Color Added," or "Color Added" (or an equivalent term). The information required for hair coloring preparations is specified in 21 CFR 720.4(c)(6) [1] [4].</t>
        </is>
      </c>
      <c r="E50" s="2" t="inlineStr">
        <is>
          <t>FAIL</t>
        </is>
      </c>
      <c r="F50" s="2" t="inlineStr">
        <is>
          <t>Wrong/off-topic. Describes label declaration of color additives and points to hair-coloring labeling (720.4(c)(6)); never says whether D&amp;C Green No. 6 may be used in a pomade. Key: within the externally-applied restriction; conform to 74.1206. 82.1206 was not in the retrieved evidence. Fabricated = 1 (bank Instructions rule 3, invented requirement): Food color-declaration rules stated as required for hair pomades.</t>
        </is>
      </c>
      <c r="G50" s="3" t="n">
        <v>13.135</v>
      </c>
      <c r="H50" s="4" t="n">
        <v>1432</v>
      </c>
      <c r="I50" s="4" t="n">
        <v>111</v>
      </c>
      <c r="J50" s="2" t="inlineStr">
        <is>
          <t>Qwen/Qwen3-0.6B</t>
        </is>
      </c>
      <c r="K50" s="2" t="inlineStr">
        <is>
          <t>BAAI/bge-small-en-v1.5 (evaluator aligner; semantic retrieval not invoked)</t>
        </is>
      </c>
      <c r="L50" s="2" t="inlineStr">
        <is>
          <t>SUCCESS</t>
        </is>
      </c>
      <c r="M50" s="2" t="inlineStr"/>
      <c r="N50" s="2" t="inlineStr">
        <is>
          <t>Expected CFR section(s) 70.3, 82.1206: none in evidence; none cited in answer. Evidence (4): FDA Guidance: CVM GFI #223 Small Entity Compliance Guide Declaring Color Additives in Animal Foods (final, 201 [full_text_or]; FDA Guidance: Replacing Color Additives in Approved or Marketed Drug Products: Draft Guidance for Industry (dr [full_text_or]; 21 CFR 720.4(e) [full_text_or]; 21 CFR 720.4(c)(6) [full_text_or]. Query type GENERAL_REGULATORY_SEARCH; semantic fallback not invoked. Coverage evidence_complete=True.</t>
        </is>
      </c>
      <c r="O50" s="2" t="n">
        <v>49</v>
      </c>
      <c r="P50" s="2" t="inlineStr">
        <is>
          <t>82</t>
        </is>
      </c>
      <c r="Q50" s="2" t="inlineStr">
        <is>
          <t>Applicability</t>
        </is>
      </c>
      <c r="R50" s="2" t="inlineStr">
        <is>
          <t>Basic</t>
        </is>
      </c>
      <c r="S50" s="2" t="inlineStr">
        <is>
          <t>21 CFR 82.1206; 21 CFR 70.3(v)</t>
        </is>
      </c>
      <c r="T50" s="2" t="n">
        <v>0</v>
      </c>
      <c r="U50" s="2" t="n">
        <v>1</v>
      </c>
      <c r="V50" s="2" t="n">
        <v>0</v>
      </c>
      <c r="W50" s="2" t="n">
        <v>0</v>
      </c>
      <c r="X50" s="2" t="n">
        <v>1</v>
      </c>
      <c r="Y50" s="2" t="inlineStr">
        <is>
          <t>Generated answer</t>
        </is>
      </c>
      <c r="Z50" s="2" t="inlineStr">
        <is>
          <t>initial evidence_mismatched [invented_condition, qualifier_dropped] -&gt; final valid; repair applied</t>
        </is>
      </c>
      <c r="AA50" s="2" t="inlineStr">
        <is>
          <t>[1] = FDA Guidance: CVM GFI #223 Small Entity Compliance Guide Declaring Color Additives in Animal Foods (final, 2013-09-27, Docket FDA-2013-D-1088); [4] = 21 CFR 720.4(c)(6)</t>
        </is>
      </c>
      <c r="AB50" s="2" t="inlineStr">
        <is>
          <t>NOT EVALUATED</t>
        </is>
      </c>
      <c r="AC50" s="2" t="n"/>
      <c r="AD50" s="2" t="inlineStr">
        <is>
          <t>Cannot be verified: 3 statement(s) address the question but none could be verified against the retrieved evidence</t>
        </is>
      </c>
      <c r="AE50" s="3" t="n">
        <v>13.028</v>
      </c>
      <c r="AF50" s="3" t="n">
        <v>1.444</v>
      </c>
      <c r="AG50" s="3" t="n">
        <v>11.577</v>
      </c>
      <c r="AH50" s="3" t="n">
        <v>0.105</v>
      </c>
      <c r="AI50" s="2" t="inlineStr"/>
    </row>
    <row r="51">
      <c r="A51" s="2" t="inlineStr">
        <is>
          <t>COS-82.1254-Q1</t>
        </is>
      </c>
      <c r="B51" s="2" t="inlineStr">
        <is>
          <t>We're a small brand formulating a toothpaste. Can we use D&amp;C Orange No. 4 in it, and what does the regulation require of the color itself?</t>
        </is>
      </c>
      <c r="C51" s="2" t="inlineStr">
        <is>
          <t>No. 21 CFR 82.1254 restricts D&amp;C Orange No. 4 to use in externally applied drugs and cosmetics. A toothpaste is applied to the lips or a mucous-membrane surface, which 70.3(v) excludes from 'externally applied'. The color must also conform to § 74.1254(a)(1) and (b).</t>
        </is>
      </c>
      <c r="D51" s="2" t="inlineStr">
        <is>
          <t>The regulation requires that color additives be declared on the labels of human food, including those used in animal foods. Additionally, the regulation requires that color additives be declared on the labels of animal food, and that the color additives be declared in accordance with the FD&amp;C Act and other relevant laws. The available regulatory sources do not provide enough information to answer this question.</t>
        </is>
      </c>
      <c r="E51" s="2" t="inlineStr">
        <is>
          <t>FAIL</t>
        </is>
      </c>
      <c r="F51" s="2" t="inlineStr">
        <is>
          <t>Wrong/off-topic. Talks about declaring colors on human and animal food labels, then says the sources are insufficient. Key: No - 82.1254 restricts D&amp;C Orange No. 4 to externally applied products; toothpaste contacts mucous membrane. 82.1254 was not in the retrieved evidence.</t>
        </is>
      </c>
      <c r="G51" s="3" t="n">
        <v>10.176</v>
      </c>
      <c r="H51" s="4" t="n">
        <v>1388</v>
      </c>
      <c r="I51" s="4" t="n">
        <v>89</v>
      </c>
      <c r="J51" s="2" t="inlineStr">
        <is>
          <t>Qwen/Qwen3-0.6B</t>
        </is>
      </c>
      <c r="K51" s="2" t="inlineStr">
        <is>
          <t>BAAI/bge-small-en-v1.5 (evaluator aligner; semantic retrieval not invoked)</t>
        </is>
      </c>
      <c r="L51" s="2" t="inlineStr">
        <is>
          <t>SUCCESS</t>
        </is>
      </c>
      <c r="M51" s="2" t="inlineStr"/>
      <c r="N51" s="2" t="inlineStr">
        <is>
          <t>Expected CFR section(s) 70.3, 82.1254: none in evidence; none cited in answer. Evidence (3): FDA Guidance: CVM GFI #223 Small Entity Compliance Guide Declaring Color Additives in Animal Foods (final, 201 [full_text_or]; FDA Guidance: Replacing Color Additives in Approved or Marketed Drug Products: Draft Guidance for Industry (dr [full_text_or]; 21 CFR 101.13(j)(1)(i)(A) [full_text_or]. Query type GENERAL_REGULATORY_SEARCH; semantic fallback not invoked. Coverage evidence_complete=True.</t>
        </is>
      </c>
      <c r="O51" s="2" t="n">
        <v>50</v>
      </c>
      <c r="P51" s="2" t="inlineStr">
        <is>
          <t>82</t>
        </is>
      </c>
      <c r="Q51" s="2" t="inlineStr">
        <is>
          <t>Applicability</t>
        </is>
      </c>
      <c r="R51" s="2" t="inlineStr">
        <is>
          <t>Basic</t>
        </is>
      </c>
      <c r="S51" s="2" t="inlineStr">
        <is>
          <t>21 CFR 82.1254; 21 CFR 70.3(v)</t>
        </is>
      </c>
      <c r="T51" s="2" t="n">
        <v>0</v>
      </c>
      <c r="U51" s="2" t="n">
        <v>0</v>
      </c>
      <c r="V51" s="2" t="n">
        <v>0</v>
      </c>
      <c r="W51" s="2" t="n">
        <v>0</v>
      </c>
      <c r="X51" s="2" t="n">
        <v>1</v>
      </c>
      <c r="Y51" s="2" t="inlineStr">
        <is>
          <t>Generated answer</t>
        </is>
      </c>
      <c r="Z51" s="2" t="inlineStr">
        <is>
          <t>initial evidence_mismatched [invented_condition] -&gt; final valid; repair applied</t>
        </is>
      </c>
      <c r="AA51" s="2" t="inlineStr"/>
      <c r="AB51" s="2" t="inlineStr">
        <is>
          <t>NOT EVALUATED</t>
        </is>
      </c>
      <c r="AC51" s="2" t="n"/>
      <c r="AD51" s="2" t="inlineStr">
        <is>
          <t>Cannot be verified: 2 statement(s) address the question but none could be verified against the retrieved evidence</t>
        </is>
      </c>
      <c r="AE51" s="3" t="n">
        <v>10.121</v>
      </c>
      <c r="AF51" s="3" t="n">
        <v>1.829</v>
      </c>
      <c r="AG51" s="3" t="n">
        <v>8.285</v>
      </c>
      <c r="AH51" s="3" t="n">
        <v>0.053</v>
      </c>
      <c r="AI51" s="2" t="inlineStr"/>
    </row>
    <row r="52">
      <c r="A52" s="2" t="inlineStr">
        <is>
          <t>COS-82.1307-Q1</t>
        </is>
      </c>
      <c r="B52" s="2" t="inlineStr">
        <is>
          <t>We make an oral drug tablet colored with both D&amp;C Red No. 6 and D&amp;C Red No. 7. What does Part 82 limit, and does 82.1307 address our lipstick too?</t>
        </is>
      </c>
      <c r="C52" s="2" t="inlineStr">
        <is>
          <t>82.1307(a): identity and specifications per § 74.1307(a)(1) and (b). (b): may be safely used for coloring drugs such that the combined total of D&amp;C Red No. 6 and D&amp;C Red No. 7 does not exceed 5 milligrams per daily dose of the drug. 82.1307 does not address cosmetic use.</t>
        </is>
      </c>
      <c r="D52" s="2" t="inlineStr">
        <is>
          <t>[1] 21 CFR 82.1307(a) [1]: The color additive D&amp;C Red No. 7 shall conform in identity and specifications to the requirements of § 74.1307 (a)(1) and (b) of this chapter [6]. 21 CFR 82.1307(b) [6]: The color additive D&amp;C Red No. 7 may be safely used for coloring drugs such that the combined total of D&amp;C Red No. 6 and D&amp;C Red No. 7 does not exceed 5 milligrams per daily dose of the drug [2]. 21 CFR 82.5 [2]: It is free from all impurities (other than those named in paragraph (b) of this section or in the specifications set forth in such paragraph for such color) to the extent that such impurities can be avoided by good manufacturing practice [3]. 21 CFR 82.5(a) [3]: It conforms to the following specifications: [4] 21 CFR 82.5(b) [4]: Each lake made as prescribed in paragraph (a) of this section shall be considered to be a straight color and to be listed therein under the name which is formed as follows: [5] 21 CFR 82.2051(a)(1) [5]: A batch of a straight color listed in this subpart may be certified, in accordance with the provisions of this part, for use only in drugs and cosmetics, if such batch conforms to the requirements of § 82.5 and to the specifications set forth in this subpart for such color [7]. 21 CFR 82.2051(a)(2) [7]: (2) Specifications [8]. 21 CFR 82.2051(b) [8]: Each lake made as prescribed in paragraph (a) of this section shall be considered to be a straight color and to be listed therein under the name which is formed as follows: [9] 21 CFR 82.1051(a)(1) [9]: (a)(1) General. Any lake, other than those listed in subpart B, made by extending on a substratum of alumina, blanc fixe, gloss white, clay, titanium dioxide, zinc oxide, talc, rosin, aluminum benzoate, calcium carbonate, or any combination of two or more of these, (i) one of the straight colors (except lakes) listed in subpart B or hereinbefore listed in this subpart, which color is a salt in which is combined the basic radical sodium, potassium, aluminum, barium, calcium, strontium, or zirconium; or (ii) a salt prepared from one of the straight colors (except lakes) listed in subpart B, or hereinbefore listed in this subpart, by combining such color with the basic radical sodium, potassium, aluminum, barium, calcium, strontium, or zirconium [9]. 21 CFR 82.1051(a)(2) [10]: (2) Specifications [11]. 21 CFR 82.51(a)(1) [15]: (a)(1) General. Any lake made by extending on a substratum of alumina, a salt prepared from one of the certified water-soluble straight colors hereinbefore listed in this subpart by combining such color with the basic radical aluminum or calcium [15]. 21 CFR 82.6(a) [16]: A batch of a mixture which contains no straight color listed in subpart C or D may be certified for use in food, drugs and cosmetics, if: [16] 21 CFR 82.101 [17]: The color additive FD&amp;C Blue No. 1 shall conform in identity and specifications to the requirements of § 74.101(a)(1) and (b) of this chapter [17]. 21 CFR 82.102 [18]: The color additive FD&amp;C Blue No. 2 shall conform in identity and specifications to the requirements of § 74.102(a)(1) and (b) of this chapter [18]. 21 CFR 82.1306(a) [19]: The color additive D&amp;C Red No. 6 shall conform in identity and specifications to the requirements of § 74.1306 (a)(1) and (b) of this chapter [19]. 21 CFR 82.1321 [20]: The color additive D&amp;C Red No. 21 shall conform in identity and specifications to the requirements of § 74.1321 (a)(1) and (b) of this chapter [20]. 21 CFR 82.1322 [21]: The color additive D&amp;C Red No. 22 shall conform in identity and specifications to the requirements of § 74.1322 (a)(1) and (b) of this chapter.
21 CFR 82.1307 (eCFR, binding, verbatim): (a) The color additive D&amp;C Red No. 7 shall conform in identity and specifications to the requirements of § 74.1307 (a)(1) and (b) of this chapter [1]. (b) The color additive D&amp;C Red No. 7 may be safely used for coloring drugs such that the combined total of D&amp;C Red No. 6 and D&amp;C Red No. 7 does not exceed 5 milligrams per daily dose of the drug [6].
21 CFR 82.1334 (eCFR, binding, verbatim): Calcium salt of 3-hydroxy-4-[(1-sulfo-2 -naphthalenyl)azol-2-naphthalenecarboxylic acid [24].
Evidence limit: not all of the retrieved text of 21 CFR part 82 fit in the evidence supplied for this answer (22 paragraphs left out). The answer above does not cover that text; consult the full provisions.</t>
        </is>
      </c>
      <c r="E52" s="2" t="inlineStr">
        <is>
          <t>PARTIALLY FAIL</t>
        </is>
      </c>
      <c r="F52" s="2" t="inlineStr">
        <is>
          <t>Partly correct. Contains 82.1307(a) and (b) correctly (identity per 74.1307; combined D&amp;C Red No. 6 + No. 7 not over 5 mg per daily dose), repeated verbatim. But it is mostly an unrelated dump of Part 82 text with misattributed paragraphs (e.g. lake-naming text labelled 82.5(b)), and never answers whether 82.1307 addresses the lipstick (key: it does not address cosmetic use).</t>
        </is>
      </c>
      <c r="G52" s="3" t="n">
        <v>235.924</v>
      </c>
      <c r="H52" s="4" t="n">
        <v>3469</v>
      </c>
      <c r="I52" s="4" t="n">
        <v>1418</v>
      </c>
      <c r="J52" s="2" t="inlineStr">
        <is>
          <t>Qwen/Qwen3-0.6B</t>
        </is>
      </c>
      <c r="K52" s="2" t="inlineStr">
        <is>
          <t>BAAI/bge-small-en-v1.5 (evaluator aligner; semantic retrieval not invoked)</t>
        </is>
      </c>
      <c r="L52" s="2" t="inlineStr">
        <is>
          <t>SUCCESS</t>
        </is>
      </c>
      <c r="M52" s="2" t="inlineStr"/>
      <c r="N52" s="2" t="inlineStr">
        <is>
          <t>Expected CFR section(s) 82.1307: all in evidence; cited in answer: 82.1307. Evidence (24): 21 CFR 82.1307(a) [exact_cfr]; 21 CFR 82.5 [exact_cfr]; 21 CFR 82.5(a) [exact_cfr]; 21 CFR 82.5(b) [exact_cfr]; 21 CFR 82.2051(a)(1) [exact_cfr]; 21 CFR 82.1307(b) [exact_cfr]; 21 CFR 82.2051(a)(2) [exact_cfr]; 21 CFR 82.2051(b) [exact_cfr]; 21 CFR 82.1051(a)(1) [exact_cfr]; 21 CFR 82.1051(a)(2) [exact_cfr]; 21 CFR 82.1051(b) [exact_cfr]; 21 CFR 82.1050 [exact_cfr]; 21 CFR 82.2050 [exact_cfr]; 21 CFR 82.50 [exact_cfr]; 21 CFR 82.51(a)(1) [exact_cfr]; 21 CFR 82.6(a) [exact_cfr]; 21 CFR 82.101 [exact_cfr]; 21 CFR 82.102 [exact_cfr]; 21 CFR 82.1306(a) [exact_cfr]; 21 CFR 82.1321 [exact_cfr]; 21 CFR 82.1322 [exact_cfr]; 21 CFR 82.1327 [exact_cfr]; 21 CFR 82.1328 [exact_cfr]; 21 CFR 82.1334 [exact_cfr]. Query type EXACT_CFR; semantic fallback not invoked. Coverage evidence_complete=False.</t>
        </is>
      </c>
      <c r="O52" s="2" t="n">
        <v>51</v>
      </c>
      <c r="P52" s="2" t="inlineStr">
        <is>
          <t>82</t>
        </is>
      </c>
      <c r="Q52" s="2" t="inlineStr">
        <is>
          <t>Specific Requirement</t>
        </is>
      </c>
      <c r="R52" s="2" t="inlineStr">
        <is>
          <t>Intermediate</t>
        </is>
      </c>
      <c r="S52" s="2" t="inlineStr">
        <is>
          <t>21 CFR 82.1307(a), (b)</t>
        </is>
      </c>
      <c r="T52" s="2" t="n">
        <v>0</v>
      </c>
      <c r="U52" s="2" t="n">
        <v>0</v>
      </c>
      <c r="V52" s="2" t="n">
        <v>1</v>
      </c>
      <c r="W52" s="2" t="n">
        <v>2</v>
      </c>
      <c r="X52" s="2" t="n">
        <v>1</v>
      </c>
      <c r="Y52" s="2" t="inlineStr">
        <is>
          <t>Generated answer</t>
        </is>
      </c>
      <c r="Z52" s="2" t="inlineStr">
        <is>
          <t>initial evidence_mismatched [provision_citation_mismatch, low_overlap_with_cited_source, enumeration_incomplete, synthesis_citation_gap, repeated_statement] -&gt; final valid; repair applied</t>
        </is>
      </c>
      <c r="AA52" s="2" t="inlineStr">
        <is>
          <t>[1] = 21 CFR 82.1307(a); [6] = 21 CFR 82.1307(b); [2] = 21 CFR 82.5; [3] = 21 CFR 82.5(a); [4] = 21 CFR 82.5(b); [5] = 21 CFR 82.2051(a)(1); [7] = 21 CFR 82.2051(a)(2); [8] = 21 CFR 82.2051(b); [9] = 21 CFR 82.1051(a)(1); [10] = 21 CFR 82.1051(a)(2); [11] = 21 CFR 82.1051(b); [15] = 21 CFR 82.51(a)(1); [16] = 21 CFR 82.6(a); [17] = 21 CFR 82.101; [18] = 21 CFR 82.102; [19] = 21 CFR 82.1306(a); [20] = 21 CFR 82.1321; [21] = 21 CFR 82.1322; [24] = 21 CFR 82.1334</t>
        </is>
      </c>
      <c r="AB52" s="2" t="inlineStr">
        <is>
          <t>FAIL</t>
        </is>
      </c>
      <c r="AC52" s="2" t="n">
        <v>15</v>
      </c>
      <c r="AD52" s="2" t="inlineStr">
        <is>
          <t>Partially correct: 3 statement(s) could not be verified; 15 statement(s) only partly address the question - e.g. the regulation it corresponds to (21 CFR 82.1307(a)) is about color/red; the answer does not cover: We make an oral drug tablet colored with both D&amp;C Red No. 6 and D&amp;C Red No. 7. What does Part 82 limit, does 82.1307 address our lipstick too</t>
        </is>
      </c>
      <c r="AE52" s="3" t="n">
        <v>235.364</v>
      </c>
      <c r="AF52" s="3" t="n">
        <v>0.194</v>
      </c>
      <c r="AG52" s="3" t="n">
        <v>235.078</v>
      </c>
      <c r="AH52" s="3" t="n">
        <v>0.538</v>
      </c>
      <c r="AI52" s="2" t="inlineStr"/>
    </row>
    <row r="53">
      <c r="A53" s="2" t="inlineStr">
        <is>
          <t>COS-82.1317-Q1</t>
        </is>
      </c>
      <c r="B53" s="2" t="inlineStr">
        <is>
          <t>We're a small brand formulating a bath oil. Can we use D&amp;C Red No. 17 in it, and what does the regulation require of the color itself?</t>
        </is>
      </c>
      <c r="C53" s="2" t="inlineStr">
        <is>
          <t>Within the restriction. 21 CFR 82.1317 restricts D&amp;C Red No. 17 to use in externally applied drugs and cosmetics; a bath oil applied only to external parts of the body fits that (70.3(v)). The color must conform in identity and specifications to § 74.1317(a)(1) and (b). The section sets no quantitative limit.</t>
        </is>
      </c>
      <c r="D53" s="2" t="inlineStr">
        <is>
          <t>The generated answer could not be validated against the retrieved regulatory evidence, so it is not shown. The retrieved sources were not verified to answer the question as asked, so their text is not quoted as an answer. Sources consulted: FDA Guidance: CVM GFI #223 Small Entity Compliance Guide Declaring Color Additives in Animal Foods (final, 2013-09-27, Docket FDA-2013-D-1088), FDA Guidance: Small Entity Compliance Guide: Revocation of Uses of Partially Hydrogenated Oils in Foods (final, 2024-04-29, Docket FDA-2024-D-1669), 21 CFR 720.4(c)(2)(i), 21 CFR 720.4(e).</t>
        </is>
      </c>
      <c r="E53" s="2" t="inlineStr">
        <is>
          <t>FAIL</t>
        </is>
      </c>
      <c r="F53" s="2" t="inlineStr">
        <is>
          <t>No answer delivered: draft withheld (invented condition). 82.1317 was not in the retrieved evidence (720.4, food guidance), so the key's answer (within the externally-applied restriction; 74.1317 specs; no limit) was not provided.</t>
        </is>
      </c>
      <c r="G53" s="3" t="n">
        <v>17.099</v>
      </c>
      <c r="H53" s="4" t="n">
        <v>1423</v>
      </c>
      <c r="I53" s="4" t="n">
        <v>112</v>
      </c>
      <c r="J53" s="2" t="inlineStr">
        <is>
          <t>Qwen/Qwen3-0.6B</t>
        </is>
      </c>
      <c r="K53" s="2" t="inlineStr">
        <is>
          <t>BAAI/bge-small-en-v1.5 (evaluator aligner; semantic retrieval not invoked)</t>
        </is>
      </c>
      <c r="L53" s="2" t="inlineStr">
        <is>
          <t>SUCCESS</t>
        </is>
      </c>
      <c r="M53" s="2" t="inlineStr"/>
      <c r="N53" s="2" t="inlineStr">
        <is>
          <t>Expected CFR section(s) 70.3, 82.1317: none in evidence; none cited in answer. Evidence (4): FDA Guidance: CVM GFI #223 Small Entity Compliance Guide Declaring Color Additives in Animal Foods (final, 201 [full_text_or]; FDA Guidance: Small Entity Compliance Guide: Revocation of Uses of Partially Hydrogenated Oils in Foods (final [full_text_or]; 21 CFR 720.4(c)(2)(i) [full_text_or]; 21 CFR 720.4(e) [full_text_or]. Query type GENERAL_REGULATORY_SEARCH; semantic fallback not invoked. Coverage evidence_complete=True.</t>
        </is>
      </c>
      <c r="O53" s="2" t="n">
        <v>52</v>
      </c>
      <c r="P53" s="2" t="inlineStr">
        <is>
          <t>82</t>
        </is>
      </c>
      <c r="Q53" s="2" t="inlineStr">
        <is>
          <t>Applicability</t>
        </is>
      </c>
      <c r="R53" s="2" t="inlineStr">
        <is>
          <t>Basic</t>
        </is>
      </c>
      <c r="S53" s="2" t="inlineStr">
        <is>
          <t>21 CFR 82.1317; 21 CFR 70.3(v)</t>
        </is>
      </c>
      <c r="T53" s="2" t="n">
        <v>0</v>
      </c>
      <c r="U53" s="2" t="n">
        <v>0</v>
      </c>
      <c r="V53" s="2" t="n">
        <v>0</v>
      </c>
      <c r="W53" s="2" t="n">
        <v>0</v>
      </c>
      <c r="X53" s="2" t="n">
        <v>1</v>
      </c>
      <c r="Y53" s="2" t="inlineStr">
        <is>
          <t>Withheld by validator (no answer shown)</t>
        </is>
      </c>
      <c r="Z53" s="2" t="inlineStr">
        <is>
          <t>initial unsupported [invented_condition, unsupported_claim] -&gt; final valid; repair applied; fallback unvalidated_answer_withheld</t>
        </is>
      </c>
      <c r="AA53" s="2" t="inlineStr"/>
      <c r="AB53" s="2" t="inlineStr">
        <is>
          <t>FAIL</t>
        </is>
      </c>
      <c r="AC53" s="2" t="n">
        <v>0</v>
      </c>
      <c r="AD53" s="2" t="inlineStr">
        <is>
          <t>Incorrect refusal: the generated answer failed validation and was suppressed, so the question went unanswered - the suppression was right, the outcome is still no answer</t>
        </is>
      </c>
      <c r="AE53" s="3" t="n">
        <v>17.095</v>
      </c>
      <c r="AF53" s="3" t="n">
        <v>5.839</v>
      </c>
      <c r="AG53" s="3" t="n">
        <v>11.248</v>
      </c>
      <c r="AH53" s="3" t="n">
        <v>0.001</v>
      </c>
      <c r="AI53" s="2" t="inlineStr"/>
    </row>
    <row r="54">
      <c r="A54" s="2" t="inlineStr">
        <is>
          <t>COS-82.1321-Q1</t>
        </is>
      </c>
      <c r="B54" s="2" t="inlineStr">
        <is>
          <t>We're a contract manufacturer making a lipstick with D&amp;C Red No. 21. Does 82.1321 restrict that use or set a limit?</t>
        </is>
      </c>
      <c r="C54" s="2" t="inlineStr">
        <is>
          <t>21 CFR 82.1321 contains one sentence: D&amp;C Red No. 21 shall conform in identity and specifications to § 74.1321(a)(1) and (b). It states no use restriction or quantitative limit. Under 82.1050 a batch of a straight color listed in Subpart C may be certified for use only in drugs and cosmetics if it conforms to 82.5 and the subpart specifications.</t>
        </is>
      </c>
      <c r="D54" s="2" t="inlineStr">
        <is>
          <t>[1] 21 CFR 82.1321 restricts the use of D&amp;C Red No. 21 in the production of lipstick.</t>
        </is>
      </c>
      <c r="E54" s="2" t="inlineStr">
        <is>
          <t>FAIL</t>
        </is>
      </c>
      <c r="F54" s="2" t="inlineStr">
        <is>
          <t>Wrong. States that 82.1321 'restricts the use of D&amp;C Red No. 21 in the production of lipstick'. The key: 82.1321 contains only the identity/specification sentence and states no use restriction or limit. Cites the right section but misstates its content; 82.1050 is not mentioned. Fabricated = 1 (bank Instructions rule 3, invented requirement): Invented restriction: 82.1321 'restricts the use of D&amp;C Red No. 21 in ... lipstick'.</t>
        </is>
      </c>
      <c r="G54" s="3" t="n">
        <v>3.636</v>
      </c>
      <c r="H54" s="4" t="n">
        <v>695</v>
      </c>
      <c r="I54" s="4" t="n">
        <v>35</v>
      </c>
      <c r="J54" s="2" t="inlineStr">
        <is>
          <t>Qwen/Qwen3-0.6B</t>
        </is>
      </c>
      <c r="K54" s="2" t="inlineStr">
        <is>
          <t>BAAI/bge-small-en-v1.5 (evaluator aligner; semantic retrieval not invoked)</t>
        </is>
      </c>
      <c r="L54" s="2" t="inlineStr">
        <is>
          <t>SUCCESS</t>
        </is>
      </c>
      <c r="M54" s="2" t="inlineStr"/>
      <c r="N54" s="2" t="inlineStr">
        <is>
          <t>Expected CFR section(s) 82.1050, 82.1321: missing from evidence: 82.1050; cited in answer: 82.1321. Evidence (1): 21 CFR 82.1321 [exact_cfr]. Query type EXACT_CFR; semantic fallback not invoked. Coverage evidence_complete=True.</t>
        </is>
      </c>
      <c r="O54" s="2" t="n">
        <v>53</v>
      </c>
      <c r="P54" s="2" t="inlineStr">
        <is>
          <t>82</t>
        </is>
      </c>
      <c r="Q54" s="2" t="inlineStr">
        <is>
          <t>Specific Requirement</t>
        </is>
      </c>
      <c r="R54" s="2" t="inlineStr">
        <is>
          <t>Intermediate</t>
        </is>
      </c>
      <c r="S54" s="2" t="inlineStr">
        <is>
          <t>21 CFR 82.1321; 21 CFR 82.1050</t>
        </is>
      </c>
      <c r="T54" s="2" t="n">
        <v>1</v>
      </c>
      <c r="U54" s="2" t="n">
        <v>1</v>
      </c>
      <c r="V54" s="2" t="n">
        <v>0</v>
      </c>
      <c r="W54" s="2" t="n">
        <v>1</v>
      </c>
      <c r="X54" s="2" t="n">
        <v>1</v>
      </c>
      <c r="Y54" s="2" t="inlineStr">
        <is>
          <t>Generated answer</t>
        </is>
      </c>
      <c r="Z54" s="2" t="inlineStr">
        <is>
          <t>initial valid [low_overlap_with_cited_source] -&gt; final valid</t>
        </is>
      </c>
      <c r="AA54" s="2" t="inlineStr">
        <is>
          <t>[1] = 21 CFR 82.1321</t>
        </is>
      </c>
      <c r="AB54" s="2" t="inlineStr">
        <is>
          <t>NOT EVALUATED</t>
        </is>
      </c>
      <c r="AC54" s="2" t="n"/>
      <c r="AD54" s="2" t="inlineStr">
        <is>
          <t>Cannot be verified: 1 statement(s) address the question but none could be verified against the retrieved evidence</t>
        </is>
      </c>
      <c r="AE54" s="3" t="n">
        <v>3.622</v>
      </c>
      <c r="AF54" s="3" t="n">
        <v>0.235</v>
      </c>
      <c r="AG54" s="3" t="n">
        <v>3.385</v>
      </c>
      <c r="AH54" s="3" t="n">
        <v>0.012</v>
      </c>
      <c r="AI54" s="2" t="inlineStr"/>
    </row>
    <row r="55">
      <c r="A55" s="2" t="inlineStr">
        <is>
          <t>COS-82.1327-Q1</t>
        </is>
      </c>
      <c r="B55" s="2" t="inlineStr">
        <is>
          <t>We're a startup making nail polish with D&amp;C Red No. 27. What does 82.1327 require, and is there a use limit?</t>
        </is>
      </c>
      <c r="C55" s="2" t="inlineStr">
        <is>
          <t>21 CFR 82.1327 contains one sentence: D&amp;C Red No. 27 shall conform in identity and specifications to § 74.1327(a)(1) and (b). It states no use restriction or quantitative limit. Under 82.1050 a batch of a straight color listed in Subpart C may be certified for use only in drugs and cosmetics if it conforms to 82.5 and the subpart specifications.</t>
        </is>
      </c>
      <c r="D55" s="2" t="inlineStr">
        <is>
          <t>[1] 21 CFR 82.1327 requires that D&amp;C Red No. 27 shall conform in identity and specifications to the requirements of § 74.1327 (a)(1) and (b) of this chapter.  
[1] 21 CFR 82.1327 also requires that the use limit for D&amp;C Red No. 27 is not exceeded.</t>
        </is>
      </c>
      <c r="E55" s="2" t="inlineStr">
        <is>
          <t>PARTIALLY FAIL</t>
        </is>
      </c>
      <c r="F55" s="2" t="inlineStr">
        <is>
          <t>Partly correct. The first sentence states 82.1327 correctly (conform to 74.1327(a)(1) and (b)). The second sentence says 82.1327 'also requires that the use limit ... is not exceeded', implying a limit that does not exist (key: no use restriction or quantitative limit). 82.1050 is not mentioned. Fabricated = 1 (bank Instructions rule 3, invented requirement): Invented use limit attributed to 82.1327.</t>
        </is>
      </c>
      <c r="G55" s="3" t="n">
        <v>7.298</v>
      </c>
      <c r="H55" s="4" t="n">
        <v>696</v>
      </c>
      <c r="I55" s="4" t="n">
        <v>93</v>
      </c>
      <c r="J55" s="2" t="inlineStr">
        <is>
          <t>Qwen/Qwen3-0.6B</t>
        </is>
      </c>
      <c r="K55" s="2" t="inlineStr">
        <is>
          <t>BAAI/bge-small-en-v1.5 (evaluator aligner; semantic retrieval not invoked)</t>
        </is>
      </c>
      <c r="L55" s="2" t="inlineStr">
        <is>
          <t>SUCCESS</t>
        </is>
      </c>
      <c r="M55" s="2" t="inlineStr"/>
      <c r="N55" s="2" t="inlineStr">
        <is>
          <t>Expected CFR section(s) 82.1050, 82.1327: missing from evidence: 82.1050; cited in answer: 82.1327. Evidence (1): 21 CFR 82.1327 [exact_cfr]. Query type EXACT_CFR; semantic fallback not invoked. Coverage evidence_complete=True.</t>
        </is>
      </c>
      <c r="O55" s="2" t="n">
        <v>54</v>
      </c>
      <c r="P55" s="2" t="inlineStr">
        <is>
          <t>82</t>
        </is>
      </c>
      <c r="Q55" s="2" t="inlineStr">
        <is>
          <t>Specific Requirement</t>
        </is>
      </c>
      <c r="R55" s="2" t="inlineStr">
        <is>
          <t>Intermediate</t>
        </is>
      </c>
      <c r="S55" s="2" t="inlineStr">
        <is>
          <t>21 CFR 82.1327; 21 CFR 82.1050</t>
        </is>
      </c>
      <c r="T55" s="2" t="n">
        <v>1</v>
      </c>
      <c r="U55" s="2" t="n">
        <v>1</v>
      </c>
      <c r="V55" s="2" t="n">
        <v>1</v>
      </c>
      <c r="W55" s="2" t="n">
        <v>1</v>
      </c>
      <c r="X55" s="2" t="n">
        <v>1</v>
      </c>
      <c r="Y55" s="2" t="inlineStr">
        <is>
          <t>Generated answer</t>
        </is>
      </c>
      <c r="Z55" s="2" t="inlineStr">
        <is>
          <t>initial valid [uncited_statement] -&gt; final valid</t>
        </is>
      </c>
      <c r="AA55" s="2" t="inlineStr">
        <is>
          <t>[1] = 21 CFR 82.1327</t>
        </is>
      </c>
      <c r="AB55" s="2" t="inlineStr">
        <is>
          <t>FAIL</t>
        </is>
      </c>
      <c r="AC55" s="2" t="n">
        <v>0</v>
      </c>
      <c r="AD55" s="2" t="inlineStr">
        <is>
          <t>Incorrect: 1 statement(s) that address the question are contradicted by the evidence: the answer is negate where the evidence is affirm (compared with 21 CFR 82.1327 (SOURCE 1))</t>
        </is>
      </c>
      <c r="AE55" s="3" t="n">
        <v>7.276</v>
      </c>
      <c r="AF55" s="3" t="n">
        <v>0.176</v>
      </c>
      <c r="AG55" s="3" t="n">
        <v>7.096</v>
      </c>
      <c r="AH55" s="3" t="n">
        <v>0.019</v>
      </c>
      <c r="AI55" s="2" t="inlineStr"/>
    </row>
    <row r="56">
      <c r="A56" s="2" t="inlineStr">
        <is>
          <t>COS-82.2050-Q1</t>
        </is>
      </c>
      <c r="B56" s="2" t="inlineStr">
        <is>
          <t>Our supplier's batch was certified under Part 82 Subpart D. Can we use it in a lipstick, or only in certain products?</t>
        </is>
      </c>
      <c r="C56" s="2" t="inlineStr">
        <is>
          <t>Under 82.2050 a Subpart D straight color batch may be certified, under Part 82, for use in externally applied drugs and cosmetics if it conforms to 82.5 and the Subpart D specifications for that color. Under 70.3(v) the lips are not externally applied, so a lipstick is outside that certified use.</t>
        </is>
      </c>
      <c r="D56" s="2" t="inlineStr">
        <is>
          <t>The generated answer could not be validated against the retrieved regulatory evidence, so it is not shown. The retrieved sources were not verified to answer the question as asked, so their text is not quoted as an answer. Sources consulted: 21 CFR 82.6(a), 21 CFR 82.6(a)(1), 21 CFR 82.6(a)(2), 21 CFR 82.1050, 21 CFR 82.2050 and 19 more.
Evidence limit: not all of the retrieved text of 21 CFR part 82 fit in the evidence supplied for this answer (17 paragraphs left out). The answer above does not cover that text; consult the full provisions.</t>
        </is>
      </c>
      <c r="E56" s="2" t="inlineStr">
        <is>
          <t>FAIL</t>
        </is>
      </c>
      <c r="F56" s="2" t="inlineStr">
        <is>
          <t>No answer delivered: draft withheld (condition not in cited source, invented condition), although 82.2050 was in the retrieved evidence. The key's answer (Subpart D: externally applied drugs and cosmetics only; lips excluded under 70.3(v), so not lipstick) was not provided.</t>
        </is>
      </c>
      <c r="G56" s="3" t="n">
        <v>11.785</v>
      </c>
      <c r="H56" s="4" t="n">
        <v>3030</v>
      </c>
      <c r="I56" s="4" t="n">
        <v>57</v>
      </c>
      <c r="J56" s="2" t="inlineStr">
        <is>
          <t>Qwen/Qwen3-0.6B</t>
        </is>
      </c>
      <c r="K56" s="2" t="inlineStr">
        <is>
          <t>BAAI/bge-small-en-v1.5 (evaluator aligner; semantic retrieval not invoked)</t>
        </is>
      </c>
      <c r="L56" s="2" t="inlineStr">
        <is>
          <t>SUCCESS</t>
        </is>
      </c>
      <c r="M56" s="2" t="inlineStr"/>
      <c r="N56" s="2" t="inlineStr">
        <is>
          <t>Expected CFR section(s) 70.3, 82.2050: missing from evidence: 70.3; none cited in answer. Evidence (24): 21 CFR 82.6(a) [exact_cfr]; 21 CFR 82.6(a)(1) [exact_cfr]; 21 CFR 82.6(a)(2) [exact_cfr]; 21 CFR 82.1050 [exact_cfr]; 21 CFR 82.2050 [exact_cfr]; 21 CFR 82.50 [exact_cfr]; 21 CFR 82.5 [exact_cfr]; 21 CFR 82.1255(a) [exact_cfr]; 21 CFR 82.1206 [exact_cfr]; 21 CFR 82.51(a)(1) [exact_cfr]; 21 CFR 82.1104 [exact_cfr]; 21 CFR 82.1254 [exact_cfr]; 21 CFR 82.1260 [exact_cfr]; 21 CFR 82.1261 [exact_cfr]; 21 CFR 82.1317 [exact_cfr]; 21 CFR 82.1331 [exact_cfr]; 21 CFR 82.1707 [exact_cfr]; 21 CFR 82.1708 [exact_cfr]; 21 CFR 82.304 [exact_cfr]; 21 CFR 82.2707a [exact_cfr]; 21 CFR 82.101 [exact_cfr]; 21 CFR 82.102 [exact_cfr]; 21 CFR 82.1205 [exact_cfr]; 21 CFR 82.3 [exact_cfr]. Query type EXACT_CFR; semantic fallback not invoked. Coverage evidence_complete=False.</t>
        </is>
      </c>
      <c r="O56" s="2" t="n">
        <v>55</v>
      </c>
      <c r="P56" s="2" t="inlineStr">
        <is>
          <t>82</t>
        </is>
      </c>
      <c r="Q56" s="2" t="inlineStr">
        <is>
          <t>Applicability</t>
        </is>
      </c>
      <c r="R56" s="2" t="inlineStr">
        <is>
          <t>Basic</t>
        </is>
      </c>
      <c r="S56" s="2" t="inlineStr">
        <is>
          <t>21 CFR 82.2050; 21 CFR 70.3(v)</t>
        </is>
      </c>
      <c r="T56" s="2" t="n">
        <v>0</v>
      </c>
      <c r="U56" s="2" t="n">
        <v>0</v>
      </c>
      <c r="V56" s="2" t="n">
        <v>0</v>
      </c>
      <c r="W56" s="2" t="n">
        <v>0</v>
      </c>
      <c r="X56" s="2" t="n">
        <v>1</v>
      </c>
      <c r="Y56" s="2" t="inlineStr">
        <is>
          <t>Withheld by validator (no answer shown)</t>
        </is>
      </c>
      <c r="Z56" s="2" t="inlineStr">
        <is>
          <t>initial unsupported [low_overlap_with_cited_source, condition_not_in_cited_source, invented_condition] -&gt; final unsupported; repair applied; fallback unvalidated_answer_withheld</t>
        </is>
      </c>
      <c r="AA56" s="2" t="inlineStr"/>
      <c r="AB56" s="2" t="inlineStr">
        <is>
          <t>FAIL</t>
        </is>
      </c>
      <c r="AC56" s="2" t="n">
        <v>0</v>
      </c>
      <c r="AD56" s="2" t="inlineStr">
        <is>
          <t>Incorrect refusal: the generated answer failed validation and was suppressed, so the question went unanswered - the suppression was right, the outcome is still no answer</t>
        </is>
      </c>
      <c r="AE56" s="3" t="n">
        <v>11.78</v>
      </c>
      <c r="AF56" s="3" t="n">
        <v>0.274</v>
      </c>
      <c r="AG56" s="3" t="n">
        <v>11.486</v>
      </c>
      <c r="AH56" s="3" t="n">
        <v>0.002</v>
      </c>
      <c r="AI56" s="2" t="inlineStr"/>
    </row>
    <row r="57">
      <c r="A57" s="2" t="inlineStr">
        <is>
          <t>COS-700.13-Q2</t>
        </is>
      </c>
      <c r="B57" s="2" t="inlineStr">
        <is>
          <t>We plan to import a skin-lightening cream containing mercury that is marketed for freckles and age spots. How does FDA treat it?</t>
        </is>
      </c>
      <c r="C57" s="2" t="inlineStr">
        <is>
          <t>§ 700.13(a): such products are regarded as drugs as well as cosmetics. (d)(1): mercury-containing skin-bleaching, beauty or facial products are misbranded under sections 502(a), 502(f)(1) and (2), and 502(j), and may be unapproved new drugs under section 505; those shipped after January 5, 1973 are subject to regulatory action. (d)(2): as a cosmetic it is adulterated unless (d)(2)(i) or (ii) is met.</t>
        </is>
      </c>
      <c r="D57" s="2" t="inlineStr">
        <is>
          <t>The FDA treats the skin-lightening cream containing mercury as a drug or a cosmetic preparation, as mercury compounds are recognized as skin-bleaching agents or as preservatives in cosmetics. The VQIP importer program allows the manufacturer or owner to be the importer of record, and the VQIP importer may also be the CBP importer. The use of mercury compounds in cosmetics is covered under 21 CFR 700.13(a), which states that such preparations are treated as drugs or cosmetics [1] [4].</t>
        </is>
      </c>
      <c r="E57" s="2" t="inlineStr">
        <is>
          <t>PARTIALLY FAIL</t>
        </is>
      </c>
      <c r="F57" s="2" t="inlineStr">
        <is>
          <t>Partly correct. Names 700.13(a) and says the product is treated as a drug 'or' a cosmetic (the key: drug AS WELL AS cosmetic), then adds irrelevant importer-program (VQIP) text. Omits the core consequences in 700.13(d): misbranded under 502, possibly an unapproved new drug, and adulterated as a cosmetic unless (d)(2)(i)/(ii) is met. The [n] markers point to a VQIP guidance and 720.4, not 700.13. 700.13 was in the retrieved evidence.</t>
        </is>
      </c>
      <c r="G57" s="3" t="n">
        <v>14.27</v>
      </c>
      <c r="H57" s="4" t="n">
        <v>1415</v>
      </c>
      <c r="I57" s="4" t="n">
        <v>129</v>
      </c>
      <c r="J57" s="2" t="inlineStr">
        <is>
          <t>Qwen/Qwen3-0.6B</t>
        </is>
      </c>
      <c r="K57" s="2" t="inlineStr">
        <is>
          <t>BAAI/bge-small-en-v1.5 (evaluator aligner; semantic retrieval not invoked)</t>
        </is>
      </c>
      <c r="L57" s="2" t="inlineStr">
        <is>
          <t>SUCCESS</t>
        </is>
      </c>
      <c r="M57" s="2" t="inlineStr"/>
      <c r="N57" s="2" t="inlineStr">
        <is>
          <t>Expected CFR section(s) 700.13: all in evidence; none cited in answer. Evidence (4): FDA Guidance: Guidance for Industry: FDA's Voluntary Qualified Importer Program (final, 2024-11-14, Docket FDA [full_text_or]; FDA Guidance: Guidance for Industry: Foreign Supplier Verification Programs for Importers of Food for Humans a [full_text_or]; 21 CFR 700.13(a) [full_text_or]; 21 CFR 720.4(c)(6)(vi) [full_text_or]. Query type GENERAL_REGULATORY_SEARCH; semantic fallback not invoked. Coverage evidence_complete=True.</t>
        </is>
      </c>
      <c r="O57" s="2" t="n">
        <v>56</v>
      </c>
      <c r="P57" s="2" t="inlineStr">
        <is>
          <t>700</t>
        </is>
      </c>
      <c r="Q57" s="2" t="inlineStr">
        <is>
          <t>Specific Requirement</t>
        </is>
      </c>
      <c r="R57" s="2" t="inlineStr">
        <is>
          <t>Advanced</t>
        </is>
      </c>
      <c r="S57" s="2" t="inlineStr">
        <is>
          <t>21 CFR 700.13(a), (d)(1), (d)(2)</t>
        </is>
      </c>
      <c r="T57" s="2" t="n">
        <v>0</v>
      </c>
      <c r="U57" s="2" t="n">
        <v>0</v>
      </c>
      <c r="V57" s="2" t="n">
        <v>1</v>
      </c>
      <c r="W57" s="2" t="n">
        <v>1</v>
      </c>
      <c r="X57" s="2" t="n">
        <v>1</v>
      </c>
      <c r="Y57" s="2" t="inlineStr">
        <is>
          <t>Generated answer</t>
        </is>
      </c>
      <c r="Z57" s="2" t="inlineStr">
        <is>
          <t>initial evidence_mismatched [invented_condition] -&gt; final valid; repair applied</t>
        </is>
      </c>
      <c r="AA57" s="2" t="inlineStr">
        <is>
          <t>[1] = FDA Guidance: Guidance for Industry: FDA's Voluntary Qualified Importer Program (final, 2024-11-14, Docket FDA-2011-N-0144); [4] = 21 CFR 720.4(c)(6)(vi)</t>
        </is>
      </c>
      <c r="AB57" s="2" t="inlineStr">
        <is>
          <t>NOT EVALUATED</t>
        </is>
      </c>
      <c r="AC57" s="2" t="n"/>
      <c r="AD57" s="2" t="inlineStr">
        <is>
          <t>Cannot be verified: 3 statement(s) address the question but none could be verified against the retrieved evidence</t>
        </is>
      </c>
      <c r="AE57" s="3" t="n">
        <v>14.125</v>
      </c>
      <c r="AF57" s="3" t="n">
        <v>1.756</v>
      </c>
      <c r="AG57" s="3" t="n">
        <v>12.36</v>
      </c>
      <c r="AH57" s="3" t="n">
        <v>0.143</v>
      </c>
      <c r="AI57" s="2" t="inlineStr"/>
    </row>
    <row r="58">
      <c r="A58" s="2" t="inlineStr">
        <is>
          <t>COS-700.14-Q1</t>
        </is>
      </c>
      <c r="B58" s="2" t="inlineStr">
        <is>
          <t>Our aerosol hair spray uses vinyl chloride as a co-propellant at 2%. Is that permitted?</t>
        </is>
      </c>
      <c r="C58" s="2" t="inlineStr">
        <is>
          <t>No. § 700.14(a): FDA regards vinyl chloride as a deleterious substance, and any cosmetic aerosol product containing vinyl chloride as an ingredient is adulterated under section 601(a) of the act. No level is allowed. § 700.14(b): any such cosmetic aerosol product shipped within the act's jurisdiction is subject to regulatory action.</t>
        </is>
      </c>
      <c r="D58" s="2" t="inlineStr">
        <is>
          <t>The generated answer could not be validated against the retrieved regulatory evidence, so it is not shown. The retrieved sources were not verified to answer the question as asked, so their text is not quoted as an answer. Sources consulted: FDA Guidance: Marketing Clearance of Diagnostic Ultrasound Systems and Transducers : Guidance for Industry and Food and Drug Administration Staff (final, 2023-02-21, Docket FDA-2017-D-5372), FDA Guidance: Guidance for Industry: The Use of an Alternate Name for Potassium Chloride in Food Labeling (final, 2020-12-17, Docket FDA-2019-D-0892), 21 CFR 700.14(b), 21 CFR 310.502(a)(15).</t>
        </is>
      </c>
      <c r="E58" s="2" t="inlineStr">
        <is>
          <t>FAIL</t>
        </is>
      </c>
      <c r="F58" s="2" t="inlineStr">
        <is>
          <t>No answer delivered: draft degenerate (truncated, repeated) and withheld, although 700.14(b) was in the retrieved evidence. The key's answer (No - vinyl chloride in a cosmetic aerosol is deleterious and adulterated at any level) was not provided.</t>
        </is>
      </c>
      <c r="G58" s="3" t="n">
        <v>20.838</v>
      </c>
      <c r="H58" s="4" t="n">
        <v>1390</v>
      </c>
      <c r="I58" s="4" t="n">
        <v>224</v>
      </c>
      <c r="J58" s="2" t="inlineStr">
        <is>
          <t>Qwen/Qwen3-0.6B</t>
        </is>
      </c>
      <c r="K58" s="2" t="inlineStr">
        <is>
          <t>BAAI/bge-small-en-v1.5 (evaluator aligner; semantic retrieval not invoked)</t>
        </is>
      </c>
      <c r="L58" s="2" t="inlineStr">
        <is>
          <t>SUCCESS</t>
        </is>
      </c>
      <c r="M58" s="2" t="inlineStr"/>
      <c r="N58" s="2" t="inlineStr">
        <is>
          <t>Expected CFR section(s) 700.14: all in evidence; none cited in answer. Evidence (4): FDA Guidance: Marketing Clearance of Diagnostic Ultrasound Systems and Transducers : Guidance for Industry and [full_text_or]; FDA Guidance: Guidance for Industry: The Use of an Alternate Name for Potassium Chloride in Food Labeling (fin [full_text_or]; 21 CFR 700.14(b) [full_text_or]; 21 CFR 310.502(a)(15) [full_text_or]. Query type GENERAL_REGULATORY_SEARCH; semantic fallback not invoked. Coverage evidence_complete=True.</t>
        </is>
      </c>
      <c r="O58" s="2" t="n">
        <v>57</v>
      </c>
      <c r="P58" s="2" t="inlineStr">
        <is>
          <t>700</t>
        </is>
      </c>
      <c r="Q58" s="2" t="inlineStr">
        <is>
          <t>Applicability</t>
        </is>
      </c>
      <c r="R58" s="2" t="inlineStr">
        <is>
          <t>Basic</t>
        </is>
      </c>
      <c r="S58" s="2" t="inlineStr">
        <is>
          <t>21 CFR 700.14(a), (b)</t>
        </is>
      </c>
      <c r="T58" s="2" t="n">
        <v>0</v>
      </c>
      <c r="U58" s="2" t="n">
        <v>0</v>
      </c>
      <c r="V58" s="2" t="n">
        <v>0</v>
      </c>
      <c r="W58" s="2" t="n">
        <v>0</v>
      </c>
      <c r="X58" s="2" t="n">
        <v>1</v>
      </c>
      <c r="Y58" s="2" t="inlineStr">
        <is>
          <t>Withheld by validator (no answer shown)</t>
        </is>
      </c>
      <c r="Z58" s="2" t="inlineStr">
        <is>
          <t>initial degenerate [degenerate_output, truncated, invented_condition, unsupported_claim, repeated_statement] -&gt; final incomplete; repair applied; fallback unvalidated_answer_withheld; stop repetition; generation hit token allowance</t>
        </is>
      </c>
      <c r="AA58" s="2" t="inlineStr"/>
      <c r="AB58" s="2" t="inlineStr">
        <is>
          <t>FAIL</t>
        </is>
      </c>
      <c r="AC58" s="2" t="n">
        <v>0</v>
      </c>
      <c r="AD58" s="2" t="inlineStr">
        <is>
          <t>Incorrect refusal: the generated answer failed validation and was suppressed, so the question went unanswered - the suppression was right, the outcome is still no answer</t>
        </is>
      </c>
      <c r="AE58" s="3" t="n">
        <v>20.836</v>
      </c>
      <c r="AF58" s="3" t="n">
        <v>1.838</v>
      </c>
      <c r="AG58" s="3" t="n">
        <v>18.988</v>
      </c>
      <c r="AH58" s="3" t="n">
        <v>0.001</v>
      </c>
      <c r="AI58" s="2" t="inlineStr"/>
    </row>
    <row r="59">
      <c r="A59" s="2" t="inlineStr">
        <is>
          <t>COS-700.15-Q1</t>
        </is>
      </c>
      <c r="B59" s="2" t="inlineStr">
        <is>
          <t>Our antimicrobial deodorant bar formula includes tribromsalan (TBS) at 0.25%. Can we sell it?</t>
        </is>
      </c>
      <c r="C59" s="2" t="inlineStr">
        <is>
          <t>No. § 700.15(b): tribromsalan, dibromsalan, metabromsalan and 3,3',4,5'-tetrachlorosalicylanilide are deleterious, and any cosmetic containing one of them as an ingredient, at any level and for any purpose, is adulterated under section 601(a). § 700.15(c): such cosmetics first introduced into interstate commerce after December 1, 1975 that do not comply are subject to regulatory action.</t>
        </is>
      </c>
      <c r="D59" s="2" t="inlineStr">
        <is>
          <t>The available regulatory sources do not provide enough information to answer this question. [1]</t>
        </is>
      </c>
      <c r="E59" s="2" t="inlineStr">
        <is>
          <t>FAIL</t>
        </is>
      </c>
      <c r="F59" s="2" t="inlineStr">
        <is>
          <t>Declined ('sources do not provide enough information'), citing an infant-formula guidance, although 700.15 was in the retrieved evidence. Key: No - tribromsalan in a cosmetic at any level makes it adulterated under 601(a).</t>
        </is>
      </c>
      <c r="G59" s="3" t="n">
        <v>4.047</v>
      </c>
      <c r="H59" s="4" t="n">
        <v>1449</v>
      </c>
      <c r="I59" s="4" t="n">
        <v>18</v>
      </c>
      <c r="J59" s="2" t="inlineStr">
        <is>
          <t>Qwen/Qwen3-0.6B</t>
        </is>
      </c>
      <c r="K59" s="2" t="inlineStr">
        <is>
          <t>BAAI/bge-small-en-v1.5 (evaluator aligner; semantic retrieval not invoked)</t>
        </is>
      </c>
      <c r="L59" s="2" t="inlineStr">
        <is>
          <t>SUCCESS</t>
        </is>
      </c>
      <c r="M59" s="2" t="inlineStr"/>
      <c r="N59" s="2" t="inlineStr">
        <is>
          <t>Expected CFR section(s) 700.15: all in evidence; none cited in answer. Evidence (3): FDA Guidance: Guidance for Industry: Infant Formula Transition Plan for Exercise of Enforcement Discretion (fi [full_text_or]; FDA Guidance: Guidance for Industry: Labeling of Infant Formula (final, 2023-03-06, Docket FDA-2013-S-0610) [full_text_or]; 21 CFR 700.15(a) [full_text_or]. Query type GENERAL_REGULATORY_SEARCH; semantic fallback not invoked. Coverage evidence_complete=True.</t>
        </is>
      </c>
      <c r="O59" s="2" t="n">
        <v>58</v>
      </c>
      <c r="P59" s="2" t="inlineStr">
        <is>
          <t>700</t>
        </is>
      </c>
      <c r="Q59" s="2" t="inlineStr">
        <is>
          <t>Applicability</t>
        </is>
      </c>
      <c r="R59" s="2" t="inlineStr">
        <is>
          <t>Basic</t>
        </is>
      </c>
      <c r="S59" s="2" t="inlineStr">
        <is>
          <t>21 CFR 700.15(b), (c)</t>
        </is>
      </c>
      <c r="T59" s="2" t="n">
        <v>0</v>
      </c>
      <c r="U59" s="2" t="n">
        <v>0</v>
      </c>
      <c r="V59" s="2" t="n">
        <v>0</v>
      </c>
      <c r="W59" s="2" t="n">
        <v>0</v>
      </c>
      <c r="X59" s="2" t="n">
        <v>1</v>
      </c>
      <c r="Y59" s="2" t="inlineStr">
        <is>
          <t>Generated answer</t>
        </is>
      </c>
      <c r="Z59" s="2" t="inlineStr">
        <is>
          <t>initial valid -&gt; final valid</t>
        </is>
      </c>
      <c r="AA59" s="2" t="inlineStr">
        <is>
          <t>[1] = FDA Guidance: Guidance for Industry: Infant Formula Transition Plan for Exercise of Enforcement Discretion (final, 2022-09-29, Docket FDA-2022-D-0814)</t>
        </is>
      </c>
      <c r="AB59" s="2" t="inlineStr">
        <is>
          <t>NOT EVALUATED</t>
        </is>
      </c>
      <c r="AC59" s="2" t="n"/>
      <c r="AD59" s="2" t="inlineStr">
        <is>
          <t>Cannot be verified: the answer declines, and neither the pipeline state nor the retrieved evidence establishes whether the question could have been answered</t>
        </is>
      </c>
      <c r="AE59" s="3" t="n">
        <v>4.044</v>
      </c>
      <c r="AF59" s="3" t="n">
        <v>0.847</v>
      </c>
      <c r="AG59" s="3" t="n">
        <v>3.191</v>
      </c>
      <c r="AH59" s="3" t="n">
        <v>0.001</v>
      </c>
      <c r="AI59" s="2" t="inlineStr"/>
    </row>
    <row r="60">
      <c r="A60" s="2" t="inlineStr">
        <is>
          <t>COS-700.18-Q1</t>
        </is>
      </c>
      <c r="B60" s="2" t="inlineStr">
        <is>
          <t>We use chloroform as an extraction solvent for a botanical extract, and traces remain in our cream. Is the cream adulterated under the chloroform rule?</t>
        </is>
      </c>
      <c r="C60" s="2" t="inlineStr">
        <is>
          <t>Not on the residue alone. § 700.18(b): any cosmetic containing chloroform as an ingredient is adulterated and subject to regulatory action under sections 301 and 601(a). Chloroform remaining as a residue from its use as a processing solvent during manufacture, or as a byproduct of synthesis of an ingredient, is not considered an ingredient for purposes of this section.</t>
        </is>
      </c>
      <c r="D60"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New Dietary Ingredient Notifications and Related Issues (draft, 2024-04-03, Docket FDA-2011-D-0376), FDA Guidance: Saline, Silicone Gel, and Alternative Breast Implants: Guidance for Industry and FDA Staff (final, 2020-09-29, Docket FDA-2004-D-0124), 21 CFR 700.18(b).</t>
        </is>
      </c>
      <c r="E60" s="2" t="inlineStr">
        <is>
          <t>FAIL</t>
        </is>
      </c>
      <c r="F60" s="2" t="inlineStr">
        <is>
          <t>No answer delivered: draft withheld (invented condition, unsupported claim), although 700.18(b) - which contains the processing-solvent residue exclusion - was in the retrieved evidence. The key's answer (residue alone does not make chloroform an ingredient) was not provided.</t>
        </is>
      </c>
      <c r="G60" s="3" t="n">
        <v>11.996</v>
      </c>
      <c r="H60" s="4" t="n">
        <v>1410</v>
      </c>
      <c r="I60" s="4" t="n">
        <v>117</v>
      </c>
      <c r="J60" s="2" t="inlineStr">
        <is>
          <t>Qwen/Qwen3-0.6B</t>
        </is>
      </c>
      <c r="K60" s="2" t="inlineStr">
        <is>
          <t>BAAI/bge-small-en-v1.5 (evaluator aligner; semantic retrieval not invoked)</t>
        </is>
      </c>
      <c r="L60" s="2" t="inlineStr">
        <is>
          <t>SUCCESS</t>
        </is>
      </c>
      <c r="M60" s="2" t="inlineStr"/>
      <c r="N60" s="2" t="inlineStr">
        <is>
          <t>Expected CFR section(s) 700.18: all in evidence; none cited in answer. Evidence (3): FDA Guidance: Draft Guidance for Industry: New Dietary Ingredient Notifications and Related Issues (draft, 202 [full_text_or]; FDA Guidance: Saline, Silicone Gel, and Alternative Breast Implants: Guidance for Industry and FDA Staff (fina [full_text_or]; 21 CFR 700.18(b) [full_text_or]. Query type GENERAL_REGULATORY_SEARCH; semantic fallback not invoked. Coverage evidence_complete=True.</t>
        </is>
      </c>
      <c r="O60" s="2" t="n">
        <v>59</v>
      </c>
      <c r="P60" s="2" t="inlineStr">
        <is>
          <t>700</t>
        </is>
      </c>
      <c r="Q60" s="2" t="inlineStr">
        <is>
          <t>Exemption</t>
        </is>
      </c>
      <c r="R60" s="2" t="inlineStr">
        <is>
          <t>Intermediate</t>
        </is>
      </c>
      <c r="S60" s="2" t="inlineStr">
        <is>
          <t>21 CFR 700.18(b)</t>
        </is>
      </c>
      <c r="T60" s="2" t="n">
        <v>0</v>
      </c>
      <c r="U60" s="2" t="n">
        <v>0</v>
      </c>
      <c r="V60" s="2" t="n">
        <v>0</v>
      </c>
      <c r="W60" s="2" t="n">
        <v>0</v>
      </c>
      <c r="X60" s="2" t="n">
        <v>1</v>
      </c>
      <c r="Y60" s="2" t="inlineStr">
        <is>
          <t>Withheld by validator (no answer shown)</t>
        </is>
      </c>
      <c r="Z60" s="2" t="inlineStr">
        <is>
          <t>initial unsupported [invented_condition, unsupported_claim] -&gt; final unsupported; repair applied; fallback unvalidated_answer_withheld</t>
        </is>
      </c>
      <c r="AA60" s="2" t="inlineStr"/>
      <c r="AB60" s="2" t="inlineStr">
        <is>
          <t>FAIL</t>
        </is>
      </c>
      <c r="AC60" s="2" t="n">
        <v>0</v>
      </c>
      <c r="AD60" s="2" t="inlineStr">
        <is>
          <t>Incorrect refusal: the generated answer failed validation and was suppressed, so the question went unanswered - the suppression was right, the outcome is still no answer</t>
        </is>
      </c>
      <c r="AE60" s="3" t="n">
        <v>11.993</v>
      </c>
      <c r="AF60" s="3" t="n">
        <v>1.428</v>
      </c>
      <c r="AG60" s="3" t="n">
        <v>10.558</v>
      </c>
      <c r="AH60" s="3" t="n">
        <v>0.001</v>
      </c>
      <c r="AI60" s="2" t="inlineStr"/>
    </row>
    <row r="61">
      <c r="A61" s="2" t="inlineStr">
        <is>
          <t>COS-700.25-Q2</t>
        </is>
      </c>
      <c r="B61" s="2" t="inlineStr">
        <is>
          <t>Our vaginal product's container can't accept a seal. Can we get an exemption from the tamper-resistant rule, and how?</t>
        </is>
      </c>
      <c r="C61" s="2" t="inlineStr">
        <is>
          <t>§ 700.25(d): submit a citizen petition under § 10.30, with the envelope marked 'Request for Exemption from Tamper-resistant Rule.' It must include the product name; the reasons compliance is unnecessary or cannot be achieved; the alternative steps available or already taken to reduce the likelihood of malicious adulteration; and other information justifying the exemption. No grant is assured.</t>
        </is>
      </c>
      <c r="D61"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Application of the “Solely Engaged” Exemptions in Parts 117 and 507 (draft, 2017-10-20, Docket FDA-2017-D-6133), FDA Guidance: Acceptance Review for De Novo Classification Requests: Guidance for Industry and Food and Drug Administration Staff (final, 2021-10-05, Docket FDA-2017-D-6069), 21 CFR 700.25(a).</t>
        </is>
      </c>
      <c r="E61" s="2" t="inlineStr">
        <is>
          <t>FAIL</t>
        </is>
      </c>
      <c r="F61" s="2" t="inlineStr">
        <is>
          <t>No answer delivered: draft withheld (unsupported claim). Only 700.25(a) was retrieved, not (d), so the key's exemption procedure (citizen petition under 10.30, marked envelope, required contents) was not provided.</t>
        </is>
      </c>
      <c r="G61" s="3" t="n">
        <v>12.246</v>
      </c>
      <c r="H61" s="4" t="n">
        <v>1345</v>
      </c>
      <c r="I61" s="4" t="n">
        <v>127</v>
      </c>
      <c r="J61" s="2" t="inlineStr">
        <is>
          <t>Qwen/Qwen3-0.6B</t>
        </is>
      </c>
      <c r="K61" s="2" t="inlineStr">
        <is>
          <t>BAAI/bge-small-en-v1.5 (evaluator aligner; semantic retrieval not invoked)</t>
        </is>
      </c>
      <c r="L61" s="2" t="inlineStr">
        <is>
          <t>SUCCESS</t>
        </is>
      </c>
      <c r="M61" s="2" t="inlineStr"/>
      <c r="N61" s="2" t="inlineStr">
        <is>
          <t>Expected CFR section(s) 700.25: all in evidence; none cited in answer. Evidence (3): FDA Guidance: Draft Guidance for Industry: Application of the “Solely Engaged” Exemptions in Parts 117 and 507 [full_text_or]; FDA Guidance: Acceptance Review for De Novo Classification Requests: Guidance for Industry and Food and Drug A [full_text_or]; 21 CFR 700.25(a) [full_text_or]. Query type GENERAL_REGULATORY_SEARCH; semantic fallback not invoked. Coverage evidence_complete=True.</t>
        </is>
      </c>
      <c r="O61" s="2" t="n">
        <v>60</v>
      </c>
      <c r="P61" s="2" t="inlineStr">
        <is>
          <t>700</t>
        </is>
      </c>
      <c r="Q61" s="2" t="inlineStr">
        <is>
          <t>Exemption</t>
        </is>
      </c>
      <c r="R61" s="2" t="inlineStr">
        <is>
          <t>Intermediate</t>
        </is>
      </c>
      <c r="S61" s="2" t="inlineStr">
        <is>
          <t>21 CFR 700.25(d)</t>
        </is>
      </c>
      <c r="T61" s="2" t="n">
        <v>0</v>
      </c>
      <c r="U61" s="2" t="n">
        <v>0</v>
      </c>
      <c r="V61" s="2" t="n">
        <v>0</v>
      </c>
      <c r="W61" s="2" t="n">
        <v>0</v>
      </c>
      <c r="X61" s="2" t="n">
        <v>1</v>
      </c>
      <c r="Y61" s="2" t="inlineStr">
        <is>
          <t>Withheld by validator (no answer shown)</t>
        </is>
      </c>
      <c r="Z61" s="2" t="inlineStr">
        <is>
          <t>initial unsupported [unsupported_claim] -&gt; final valid; repair applied; fallback unvalidated_answer_withheld</t>
        </is>
      </c>
      <c r="AA61" s="2" t="inlineStr"/>
      <c r="AB61" s="2" t="inlineStr">
        <is>
          <t>FAIL</t>
        </is>
      </c>
      <c r="AC61" s="2" t="n">
        <v>0</v>
      </c>
      <c r="AD61" s="2" t="inlineStr">
        <is>
          <t>Incorrect refusal: the generated answer failed validation and was suppressed, so the question went unanswered - the suppression was right, the outcome is still no answer</t>
        </is>
      </c>
      <c r="AE61" s="3" t="n">
        <v>12.243</v>
      </c>
      <c r="AF61" s="3" t="n">
        <v>1.251</v>
      </c>
      <c r="AG61" s="3" t="n">
        <v>10.988</v>
      </c>
      <c r="AH61" s="3" t="n">
        <v>0.001</v>
      </c>
      <c r="AI61" s="2" t="inlineStr"/>
    </row>
    <row r="62">
      <c r="A62" s="2" t="inlineStr">
        <is>
          <t>COS-700.35-Q1</t>
        </is>
      </c>
      <c r="B62" s="2" t="inlineStr">
        <is>
          <t>Our tinted moisturizer contains a UV filter only to protect the formula's color, and the label says 'with sunscreen.' How do we keep it a cosmetic?</t>
        </is>
      </c>
      <c r="C62" s="2" t="inlineStr">
        <is>
          <t>§ 700.35(a): using 'sunscreen' or similar terms, or suggesting the product prevents or treats disease or affects body structure or function, makes it a drug under section 201(g)(1). A cosmetic with a sunscreen ingredient that uses such a term must qualify it by describing the cosmetic benefit. (b): the qualifier must appear prominently and conspicuously at least once with the term, e.g., 'Contains a sunscreen—to protect product color.'</t>
        </is>
      </c>
      <c r="D62"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Lead in Cosmetic Lip Products and Externally Applied Cosmetics: Recommended Maximum Level (draft, 2016-12-22, Docket FDA-2014-D-2275), 21 CFR 740.19.</t>
        </is>
      </c>
      <c r="E62" s="2" t="inlineStr">
        <is>
          <t>FAIL</t>
        </is>
      </c>
      <c r="F62" s="2" t="inlineStr">
        <is>
          <t>No answer delivered: draft withheld. 700.35 was not in the retrieved evidence (lead-in-cosmetics guidance, 740.19), so the key's answer (qualify 'sunscreen' with the cosmetic benefit, prominently, e.g. 'Contains a sunscreen—to protect product color') was not provided.</t>
        </is>
      </c>
      <c r="G62" s="3" t="n">
        <v>9.638</v>
      </c>
      <c r="H62" s="4" t="n">
        <v>1332</v>
      </c>
      <c r="I62" s="4" t="n">
        <v>92</v>
      </c>
      <c r="J62" s="2" t="inlineStr">
        <is>
          <t>Qwen/Qwen3-0.6B</t>
        </is>
      </c>
      <c r="K62" s="2" t="inlineStr">
        <is>
          <t>BAAI/bge-small-en-v1.5 (evaluator aligner; semantic retrieval not invoked)</t>
        </is>
      </c>
      <c r="L62" s="2" t="inlineStr">
        <is>
          <t>SUCCESS</t>
        </is>
      </c>
      <c r="M62" s="2" t="inlineStr"/>
      <c r="N62" s="2" t="inlineStr">
        <is>
          <t>Expected CFR section(s) 700.35: none in evidence; none cited in answer. Evidence (3): FDA Guidance: Draft Guidance for Industry: Lead in Cosmetic Lip Products and Externally Applied Cosmetics: Rec [full_text_or]; FDA Guidance: Draft Guidance for Industry: Lead in Cosmetic Lip Products and Externally Applied Cosmetics: Rec [full_text_or]; 21 CFR 740.19 [full_text_or]. Query type GENERAL_REGULATORY_SEARCH; semantic fallback not invoked. Coverage evidence_complete=True.</t>
        </is>
      </c>
      <c r="O62" s="2" t="n">
        <v>61</v>
      </c>
      <c r="P62" s="2" t="inlineStr">
        <is>
          <t>700</t>
        </is>
      </c>
      <c r="Q62" s="2" t="inlineStr">
        <is>
          <t>How to Comply</t>
        </is>
      </c>
      <c r="R62" s="2" t="inlineStr">
        <is>
          <t>Intermediate</t>
        </is>
      </c>
      <c r="S62" s="2" t="inlineStr">
        <is>
          <t>21 CFR 700.35(a), (b)</t>
        </is>
      </c>
      <c r="T62" s="2" t="n">
        <v>0</v>
      </c>
      <c r="U62" s="2" t="n">
        <v>0</v>
      </c>
      <c r="V62" s="2" t="n">
        <v>0</v>
      </c>
      <c r="W62" s="2" t="n">
        <v>0</v>
      </c>
      <c r="X62" s="2" t="n">
        <v>1</v>
      </c>
      <c r="Y62" s="2" t="inlineStr">
        <is>
          <t>Withheld by validator (no answer shown)</t>
        </is>
      </c>
      <c r="Z62" s="2" t="inlineStr">
        <is>
          <t>initial unsupported [unsupported_claim, invented_condition] -&gt; final valid; repair applied; fallback unvalidated_answer_withheld</t>
        </is>
      </c>
      <c r="AA62" s="2" t="inlineStr"/>
      <c r="AB62" s="2" t="inlineStr">
        <is>
          <t>FAIL</t>
        </is>
      </c>
      <c r="AC62" s="2" t="n">
        <v>0</v>
      </c>
      <c r="AD62" s="2" t="inlineStr">
        <is>
          <t>Incorrect refusal: the generated answer failed validation and was suppressed, so the question went unanswered - the suppression was right, the outcome is still no answer</t>
        </is>
      </c>
      <c r="AE62" s="3" t="n">
        <v>9.635999999999999</v>
      </c>
      <c r="AF62" s="3" t="n">
        <v>1.303</v>
      </c>
      <c r="AG62" s="3" t="n">
        <v>8.327999999999999</v>
      </c>
      <c r="AH62" s="3" t="n">
        <v>0.001</v>
      </c>
      <c r="AI62" s="2" t="inlineStr"/>
    </row>
    <row r="63">
      <c r="A63" s="2" t="inlineStr">
        <is>
          <t>COS-701.3-Q1</t>
        </is>
      </c>
      <c r="B63" s="2" t="inlineStr">
        <is>
          <t>We're designing a 4 oz lotion bottle. What must our ingredient list look like in terms of order and type size?</t>
        </is>
      </c>
      <c r="C63" s="2" t="inlineStr">
        <is>
          <t>§ 701.3(a): each ingredient named in descending order of predominance. (b): on an appropriate information panel, prominent enough to be read under customary purchase conditions, in letters not less than 1/16 inch in height, without obscuring design or crowding. (f) alternative: non-color ingredients above 1% in descending order, then those at or below 1% in any order, then color additives in any order.</t>
        </is>
      </c>
      <c r="D63" s="2" t="inlineStr">
        <is>
          <t>[1] The ingredient list must be specified for each brand and subbrand of tobacco product, with each listed ingredient uniquely identified to distinguish it from similar or related materials. [1] The ingredient list must be presented in order of percent of ingredient component (highest to lowest). [2] A manufacturer shall design and implement a sampling plan that includes collection of probability samples of adequate size to yield consistent tolerance intervals such that the probability is 90 percent that at least 90 percent of the absorbencies of individual tampons within a brand and type are within the range of absorbency stated on the package label. [4] The information necessary to uniquely identify an ingredient varies based upon the type of ingredient as discussed below.</t>
        </is>
      </c>
      <c r="E63" s="2" t="inlineStr">
        <is>
          <t>FAIL</t>
        </is>
      </c>
      <c r="F63" s="2" t="inlineStr">
        <is>
          <t>Wrong. Answers from tobacco-product ingredient-listing guidance and tampon absorbency rules (801.430). The key: 701.3(a) descending order of predominance, (b) letters at least 1/16 inch on an information panel, (f) the 1% alternative ordering. 701.3 was not in the retrieved evidence. Fabricated = 1 (bank Instructions rule 3, invented requirement): Tobacco ingredient-listing and tampon sampling-plan requirements stated as the lotion's ingredient-list requirements.</t>
        </is>
      </c>
      <c r="G63" s="3" t="n">
        <v>13.486</v>
      </c>
      <c r="H63" s="4" t="n">
        <v>1351</v>
      </c>
      <c r="I63" s="4" t="n">
        <v>146</v>
      </c>
      <c r="J63" s="2" t="inlineStr">
        <is>
          <t>Qwen/Qwen3-0.6B</t>
        </is>
      </c>
      <c r="K63" s="2" t="inlineStr">
        <is>
          <t>BAAI/bge-small-en-v1.5 (evaluator aligner; semantic retrieval not invoked)</t>
        </is>
      </c>
      <c r="L63" s="2" t="inlineStr">
        <is>
          <t>SUCCESS</t>
        </is>
      </c>
      <c r="M63" s="2" t="inlineStr"/>
      <c r="N63" s="2" t="inlineStr">
        <is>
          <t>Expected CFR section(s) 701.3: none in evidence; none cited in answer. Evidence (4): FDA Guidance: Listing of Ingredients in Tobacco Products: Guidance for Industry (final, 2023-03-17, Docket FDA [full_text_or]; FDA Guidance: Menstrual Products - Performance Testing and Labeling Recommendations: Draft Guidance for Indust [full_text_or]; 21 CFR 801.430(d)(1)(i) [full_text_or]; 21 CFR 801.430(f)(1) [full_text_or]. Query type GENERAL_REGULATORY_SEARCH; semantic fallback not invoked. Coverage evidence_complete=True.</t>
        </is>
      </c>
      <c r="O63" s="2" t="n">
        <v>62</v>
      </c>
      <c r="P63" s="2" t="inlineStr">
        <is>
          <t>701</t>
        </is>
      </c>
      <c r="Q63" s="2" t="inlineStr">
        <is>
          <t>Specific Requirement</t>
        </is>
      </c>
      <c r="R63" s="2" t="inlineStr">
        <is>
          <t>Basic</t>
        </is>
      </c>
      <c r="S63" s="2" t="inlineStr">
        <is>
          <t>21 CFR 701.3(a), (b), (f)</t>
        </is>
      </c>
      <c r="T63" s="2" t="n">
        <v>0</v>
      </c>
      <c r="U63" s="2" t="n">
        <v>1</v>
      </c>
      <c r="V63" s="2" t="n">
        <v>0</v>
      </c>
      <c r="W63" s="2" t="n">
        <v>0</v>
      </c>
      <c r="X63" s="2" t="n">
        <v>1</v>
      </c>
      <c r="Y63" s="2" t="inlineStr">
        <is>
          <t>Generated answer</t>
        </is>
      </c>
      <c r="Z63" s="2" t="inlineStr">
        <is>
          <t>initial valid -&gt; final valid</t>
        </is>
      </c>
      <c r="AA63" s="2" t="inlineStr">
        <is>
          <t>[1] = FDA Guidance: Listing of Ingredients in Tobacco Products: Guidance for Industry (final, 2023-03-17, Docket FDA-2009-D-0524); [2] = FDA Guidance: Menstrual Products - Performance Testing and Labeling Recommendations: Draft Guidance for Industry and Food and Drug Administration Staff (draft, 2025-10-28, Docket FDA-2025-D-5107); [4] = 21 CFR 801.430(f)(1)</t>
        </is>
      </c>
      <c r="AB63" s="2" t="inlineStr">
        <is>
          <t>FAIL</t>
        </is>
      </c>
      <c r="AC63" s="2" t="n">
        <v>15</v>
      </c>
      <c r="AD63" s="2" t="inlineStr">
        <is>
          <t>Partially correct: 2 statement(s) could not be verified; 4 statement(s) only partly address the question - e.g. the regulation it corresponds to (FDA Guidance: Listing of Ingredients in Tobacco Products: Guidance for Industry (final, 2023-03-17, Docket FDA-2009-D-0524)) is about ingredient; the answer does not cover: the question's subject</t>
        </is>
      </c>
      <c r="AE63" s="3" t="n">
        <v>13.41</v>
      </c>
      <c r="AF63" s="3" t="n">
        <v>0.9330000000000001</v>
      </c>
      <c r="AG63" s="3" t="n">
        <v>12.471</v>
      </c>
      <c r="AH63" s="3" t="n">
        <v>0.075</v>
      </c>
      <c r="AI63" s="2" t="inlineStr"/>
    </row>
    <row r="64">
      <c r="A64" s="2" t="inlineStr">
        <is>
          <t>COS-701.3-Q4</t>
        </is>
      </c>
      <c r="B64" s="2" t="inlineStr">
        <is>
          <t>We sell only by direct mail, and a supplier shortage forces us to swap an emollient. How do we handle the ingredient declaration?</t>
        </is>
      </c>
      <c r="C64" s="2" t="inlineStr">
        <is>
          <t>§ 701.3(r): direct-mail sellers may place the declaration in accompanying labeling or a mail-order catalog or brochure in letters at least 1/16 inch, if conspicuous per product, with a 3/16-inch notice visible on opening (location, copy mailed on request, distributor's name and place of business), and copies are mailed promptly. (m): list alternatives after the usual ingredient with 'or', or at the end with 'may also contain.'</t>
        </is>
      </c>
      <c r="D64" s="2" t="inlineStr">
        <is>
          <t>The FDA requires that when there is a shortage of a cosmetic ingredient, suppliers must declare alternatives to affected ingredients. This declaration can be made either immediately following the normally used ingredient or after all normally used ingredients are declared, with the alternative ingredients listed in descending order or according to provisions (f) of the regulation. The sources that support this are [1][3].</t>
        </is>
      </c>
      <c r="E64" s="2" t="inlineStr">
        <is>
          <t>PARTIALLY FAIL</t>
        </is>
      </c>
      <c r="F64" s="2" t="inlineStr">
        <is>
          <t>Partly correct. Gives the 701.3(m) idea that alternative ingredients may be declared after the usual ingredient or after all ingredients (correctly cited to 701.3(m)), but assigns the duty to 'suppliers', omits the required 'or' / 'may also contain' wording, and says nothing about 701.3(r) - the direct-mail declaration option that is half of the question. It also cites an animal-food supply-chain guidance.</t>
        </is>
      </c>
      <c r="G64" s="3" t="n">
        <v>8.06</v>
      </c>
      <c r="H64" s="4" t="n">
        <v>1347</v>
      </c>
      <c r="I64" s="4" t="n">
        <v>74</v>
      </c>
      <c r="J64" s="2" t="inlineStr">
        <is>
          <t>Qwen/Qwen3-0.6B</t>
        </is>
      </c>
      <c r="K64" s="2" t="inlineStr">
        <is>
          <t>BAAI/bge-small-en-v1.5 (evaluator aligner; semantic retrieval not invoked)</t>
        </is>
      </c>
      <c r="L64" s="2" t="inlineStr">
        <is>
          <t>SUCCESS</t>
        </is>
      </c>
      <c r="M64" s="2" t="inlineStr"/>
      <c r="N64" s="2" t="inlineStr">
        <is>
          <t>Expected CFR section(s) 701.3: all in evidence; cited in answer: 701.3. Evidence (3): FDA Guidance: CVM GFI #246 Hazard Analysis and Risk-Based Preventive Controls for Food for Animals: Supply-Cha [full_text_or]; FDA Guidance: Draft Guidance for Industry: Hazard Analysis and Risk-Based Preventive Controls for Human Food ( [full_text_or]; 21 CFR 701.3(m) [full_text_or]. Query type GENERAL_REGULATORY_SEARCH; semantic fallback not invoked. Coverage evidence_complete=True.</t>
        </is>
      </c>
      <c r="O64" s="2" t="n">
        <v>63</v>
      </c>
      <c r="P64" s="2" t="inlineStr">
        <is>
          <t>701</t>
        </is>
      </c>
      <c r="Q64" s="2" t="inlineStr">
        <is>
          <t>Specific Requirement</t>
        </is>
      </c>
      <c r="R64" s="2" t="inlineStr">
        <is>
          <t>Advanced</t>
        </is>
      </c>
      <c r="S64" s="2" t="inlineStr">
        <is>
          <t>21 CFR 701.3(r), (m)</t>
        </is>
      </c>
      <c r="T64" s="2" t="n">
        <v>0</v>
      </c>
      <c r="U64" s="2" t="n">
        <v>0</v>
      </c>
      <c r="V64" s="2" t="n">
        <v>1</v>
      </c>
      <c r="W64" s="2" t="n">
        <v>1</v>
      </c>
      <c r="X64" s="2" t="n">
        <v>1</v>
      </c>
      <c r="Y64" s="2" t="inlineStr">
        <is>
          <t>Generated answer</t>
        </is>
      </c>
      <c r="Z64" s="2" t="inlineStr">
        <is>
          <t>initial valid -&gt; final valid</t>
        </is>
      </c>
      <c r="AA64" s="2" t="inlineStr">
        <is>
          <t>[1] = FDA Guidance: CVM GFI #246 Hazard Analysis and Risk-Based Preventive Controls for Food for Animals: Supply-Chain Program (draft, 2018-06-15, Docket FDA-2018-D-1861); [3] = 21 CFR 701.3(m)</t>
        </is>
      </c>
      <c r="AB64" s="2" t="inlineStr">
        <is>
          <t>FAIL</t>
        </is>
      </c>
      <c r="AC64" s="2" t="n">
        <v>0</v>
      </c>
      <c r="AD64" s="2" t="inlineStr">
        <is>
          <t>Incorrect: 1 statement(s) that address the question are contradicted by the evidence: the answer states a mandatory requirement where the evidence is permissive (compared with 21 CFR 701.3(m) (SOURCE 3))</t>
        </is>
      </c>
      <c r="AE64" s="3" t="n">
        <v>7.997</v>
      </c>
      <c r="AF64" s="3" t="n">
        <v>0.722</v>
      </c>
      <c r="AG64" s="3" t="n">
        <v>7.272</v>
      </c>
      <c r="AH64" s="3" t="n">
        <v>0.062</v>
      </c>
      <c r="AI64" s="2" t="inlineStr"/>
    </row>
    <row r="65">
      <c r="A65" s="2" t="inlineStr">
        <is>
          <t>COS-701.9-Q1</t>
        </is>
      </c>
      <c r="B65" s="2" t="inlineStr">
        <is>
          <t>We ship unlabeled bulk shampoo to an unaffiliated contract filler who labels and packs it. Must the bulk drums carry full consumer labeling?</t>
        </is>
      </c>
      <c r="C65" s="2" t="inlineStr">
        <is>
          <t>Not if § 701.9(a) is met. A shipment to be processed, labeled or repacked in substantial quantity at another establishment is exempt from the labeling requirements of sections 601(a) and 602(b) in transit and while held there. Because you don't operate the filler, (a)(2) requires a written agreement signed by both parties, with post office addresses, specifying processing, labeling or repacking that ensures the cosmetic won't be adulterated or misbranded.</t>
        </is>
      </c>
      <c r="D65" s="2" t="inlineStr">
        <is>
          <t>The bulk drums must carry full consumer labeling as required by the FDA. The requirements include minimum 6-point type labeling for FDA-approved patient labeling, 8-point type labeling for other labelings, and 10-point type labeling for promotional materials. These requirements apply to food and dietary supplements shipped in bulk form, excluding those for distribution to consumers. [1][4]</t>
        </is>
      </c>
      <c r="E65" s="2" t="inlineStr">
        <is>
          <t>FAIL</t>
        </is>
      </c>
      <c r="F65" s="2" t="inlineStr">
        <is>
          <t>Wrong. Says the bulk drums must carry full consumer labeling and quotes prescription-drug labeling type sizes and food bulk rules. Key: exempt in transit under 701.9(a) if, for an unaffiliated filler, a signed written agreement per (a)(2) exists. 701.9 was not in the retrieved evidence. Fabricated = 1 (bank Instructions rule 3, invented requirement): Invented requirement: bulk drums 'must carry full consumer labeling' with drug type sizes.</t>
        </is>
      </c>
      <c r="G65" s="3" t="n">
        <v>8.728</v>
      </c>
      <c r="H65" s="4" t="n">
        <v>1375</v>
      </c>
      <c r="I65" s="4" t="n">
        <v>76</v>
      </c>
      <c r="J65" s="2" t="inlineStr">
        <is>
          <t>Qwen/Qwen3-0.6B</t>
        </is>
      </c>
      <c r="K65" s="2" t="inlineStr">
        <is>
          <t>BAAI/bge-small-en-v1.5 (evaluator aligner; semantic retrieval not invoked)</t>
        </is>
      </c>
      <c r="L65" s="2" t="inlineStr">
        <is>
          <t>SUCCESS</t>
        </is>
      </c>
      <c r="M65" s="2" t="inlineStr"/>
      <c r="N65" s="2" t="inlineStr">
        <is>
          <t>Expected CFR section(s) 701.9: none in evidence; none cited in answer. Evidence (4): FDA Guidance: Labeling for Human Prescription Drug and Biological Products - Implementing the PLR Content and  [full_text_or]; FDA Guidance: Good ANDA Submission Practices Guidance for Industry (final, 2022-01-26, Docket FDA-2017-D-6854) [full_text_or]; 21 CFR 101.36(h)(3) [full_text_or]; 21 CFR 101.9(j)(9) [full_text_or]. Query type GENERAL_REGULATORY_SEARCH; semantic fallback not invoked. Coverage evidence_complete=True.</t>
        </is>
      </c>
      <c r="O65" s="2" t="n">
        <v>64</v>
      </c>
      <c r="P65" s="2" t="inlineStr">
        <is>
          <t>701</t>
        </is>
      </c>
      <c r="Q65" s="2" t="inlineStr">
        <is>
          <t>Exemption</t>
        </is>
      </c>
      <c r="R65" s="2" t="inlineStr">
        <is>
          <t>Intermediate</t>
        </is>
      </c>
      <c r="S65" s="2" t="inlineStr">
        <is>
          <t>21 CFR 701.9(a)(2)</t>
        </is>
      </c>
      <c r="T65" s="2" t="n">
        <v>0</v>
      </c>
      <c r="U65" s="2" t="n">
        <v>1</v>
      </c>
      <c r="V65" s="2" t="n">
        <v>0</v>
      </c>
      <c r="W65" s="2" t="n">
        <v>0</v>
      </c>
      <c r="X65" s="2" t="n">
        <v>1</v>
      </c>
      <c r="Y65" s="2" t="inlineStr">
        <is>
          <t>Generated answer</t>
        </is>
      </c>
      <c r="Z65" s="2" t="inlineStr">
        <is>
          <t>initial valid -&gt; final valid</t>
        </is>
      </c>
      <c r="AA65" s="2" t="inlineStr">
        <is>
          <t>[1] = FDA Guidance: Labeling for Human Prescription Drug and Biological Products - Implementing the PLR Content and Format Requirements (final, 2013-02-25, Docket FDA-2005-D-0153); [4] = 21 CFR 101.9(j)(9)</t>
        </is>
      </c>
      <c r="AB65" s="2" t="inlineStr">
        <is>
          <t>NOT EVALUATED</t>
        </is>
      </c>
      <c r="AC65" s="2" t="n"/>
      <c r="AD65" s="2" t="inlineStr">
        <is>
          <t>Cannot be verified: 4 statement(s) address the question but none could be verified against the retrieved evidence</t>
        </is>
      </c>
      <c r="AE65" s="3" t="n">
        <v>8.499000000000001</v>
      </c>
      <c r="AF65" s="3" t="n">
        <v>0.9350000000000001</v>
      </c>
      <c r="AG65" s="3" t="n">
        <v>7.561</v>
      </c>
      <c r="AH65" s="3" t="n">
        <v>0.227</v>
      </c>
      <c r="AI65" s="2" t="inlineStr"/>
    </row>
    <row r="66">
      <c r="A66" s="2" t="inlineStr">
        <is>
          <t>COS-701.12-Q2</t>
        </is>
      </c>
      <c r="B66" s="2" t="inlineStr">
        <is>
          <t>Can we leave our street address off the label and show only city, state and ZIP?</t>
        </is>
      </c>
      <c r="C66" s="2" t="inlineStr">
        <is>
          <t>Only in one case. § 701.12(d): the place of business includes the street address, city, State and ZIP Code, but the street address may be omitted if it is shown in a current city directory or telephone directory. The ZIP Code requirement applies to consumer commodity labels developed or revised after the section's effective date.</t>
        </is>
      </c>
      <c r="D66" s="2" t="inlineStr">
        <is>
          <t>The available regulatory sources do not provide enough information to answer this question. [3]</t>
        </is>
      </c>
      <c r="E66" s="2" t="inlineStr">
        <is>
          <t>FAIL</t>
        </is>
      </c>
      <c r="F66" s="2" t="inlineStr">
        <is>
          <t>Declined, citing the food rule 101.5(d). 701.12(d) was not in the retrieved evidence, so the key's answer (street address may be omitted only if listed in a current city or telephone directory) was not provided.</t>
        </is>
      </c>
      <c r="G66" s="3" t="n">
        <v>3.99</v>
      </c>
      <c r="H66" s="4" t="n">
        <v>1364</v>
      </c>
      <c r="I66" s="4" t="n">
        <v>18</v>
      </c>
      <c r="J66" s="2" t="inlineStr">
        <is>
          <t>Qwen/Qwen3-0.6B</t>
        </is>
      </c>
      <c r="K66" s="2" t="inlineStr">
        <is>
          <t>BAAI/bge-small-en-v1.5 (evaluator aligner; semantic retrieval not invoked)</t>
        </is>
      </c>
      <c r="L66" s="2" t="inlineStr">
        <is>
          <t>SUCCESS</t>
        </is>
      </c>
      <c r="M66" s="2" t="inlineStr"/>
      <c r="N66" s="2" t="inlineStr">
        <is>
          <t>Expected CFR section(s) 701.12: none in evidence; none cited in answer. Evidence (3): FDA Guidance: Labeling of Nonprescription Human Drug Products Marketed Without an Approved Application as Requ [full_text_or]; FDA Guidance: Labeling for Human Prescription Drug and Biological Products - Implementing the PLR Content and  [full_text_or]; 21 CFR 101.5(d) [full_text_or]. Query type GENERAL_REGULATORY_SEARCH; semantic fallback not invoked. Coverage evidence_complete=True.</t>
        </is>
      </c>
      <c r="O66" s="2" t="n">
        <v>65</v>
      </c>
      <c r="P66" s="2" t="inlineStr">
        <is>
          <t>701</t>
        </is>
      </c>
      <c r="Q66" s="2" t="inlineStr">
        <is>
          <t>Exemption</t>
        </is>
      </c>
      <c r="R66" s="2" t="inlineStr">
        <is>
          <t>Intermediate</t>
        </is>
      </c>
      <c r="S66" s="2" t="inlineStr">
        <is>
          <t>21 CFR 701.12(d)</t>
        </is>
      </c>
      <c r="T66" s="2" t="n">
        <v>0</v>
      </c>
      <c r="U66" s="2" t="n">
        <v>0</v>
      </c>
      <c r="V66" s="2" t="n">
        <v>0</v>
      </c>
      <c r="W66" s="2" t="n">
        <v>0</v>
      </c>
      <c r="X66" s="2" t="n">
        <v>1</v>
      </c>
      <c r="Y66" s="2" t="inlineStr">
        <is>
          <t>Generated answer</t>
        </is>
      </c>
      <c r="Z66" s="2" t="inlineStr">
        <is>
          <t>initial valid -&gt; final valid</t>
        </is>
      </c>
      <c r="AA66" s="2" t="inlineStr">
        <is>
          <t>[3] = 21 CFR 101.5(d)</t>
        </is>
      </c>
      <c r="AB66" s="2" t="inlineStr">
        <is>
          <t>FAIL</t>
        </is>
      </c>
      <c r="AC66" s="2" t="n">
        <v>0</v>
      </c>
      <c r="AD66" s="2" t="inlineStr">
        <is>
          <t>Incorrect refusal: the answer declines, but the retrieved evidence covers what was asked (FDA Guidance: Labeling of Nonprescription Human Drug Products Marketed Without an Approved Application as Required by the Dietary Supplement and Nonprescription Drug Consumer Protection Act: Questions and Answers (final, 2009-09-01, Docket FDA-2007-D-0429), 21 CFR 101.5(d))</t>
        </is>
      </c>
      <c r="AE66" s="3" t="n">
        <v>3.987</v>
      </c>
      <c r="AF66" s="3" t="n">
        <v>0.844</v>
      </c>
      <c r="AG66" s="3" t="n">
        <v>3.138</v>
      </c>
      <c r="AH66" s="3" t="n">
        <v>0.001</v>
      </c>
      <c r="AI66" s="2" t="inlineStr"/>
    </row>
    <row r="67">
      <c r="A67" s="2" t="inlineStr">
        <is>
          <t>COS-701.13-G1</t>
        </is>
      </c>
      <c r="B67" s="2" t="inlineStr">
        <is>
          <t>We sell lipstick in a decorative compact-style case and a 0.15 oz lip balm. Where must the net quantity declaration go, and do the small containers give us any alternatives?</t>
        </is>
      </c>
      <c r="C67" s="2" t="inlineStr">
        <is>
          <t>§ 701.13(e): the declaration must be on the principal display panel and duplicated on each alternate principal display panel. (e)(1): for boudoir-type decorative containers (cartridge, pill box, compact or pencil) and containers of one-fourth ounce or less capacity, the PDP may be a tear-away tag or tape affixed to the decorative container, bearing the mandatory label information; type size is governed by the container's dimensions.</t>
        </is>
      </c>
      <c r="D67" s="2" t="inlineStr">
        <is>
          <t>The generated answer could not be validated against the retrieved regulatory evidence, so it is not shown. The retrieved sources were not verified to answer the question as asked, so their text is not quoted as an answer. Sources consulted: FDA Guidance: Safety Considerations for Container Labels and Carton Labeling Design to Minimize Medication Errors (final, 2022-05-18, Docket FDA-2013-D-0401), FDA Guidance: Draft Guidance for Industry: Hazard Analysis and Risk-Based Preventive Controls for Human Food (draft, 2024-01-30, Docket FDA-2016-D-2343), 21 CFR 701.13(e)(1).</t>
        </is>
      </c>
      <c r="E67" s="2" t="inlineStr">
        <is>
          <t>FAIL</t>
        </is>
      </c>
      <c r="F67" s="2" t="inlineStr">
        <is>
          <t>No answer delivered: draft withheld (unsupported claim), although 701.13(e)(1) - the decorative-container / one-fourth-ounce tear-away-tag provision - was in the retrieved evidence. The key's answer was not provided.</t>
        </is>
      </c>
      <c r="G67" s="3" t="n">
        <v>13.906</v>
      </c>
      <c r="H67" s="4" t="n">
        <v>1355</v>
      </c>
      <c r="I67" s="4" t="n">
        <v>145</v>
      </c>
      <c r="J67" s="2" t="inlineStr">
        <is>
          <t>Qwen/Qwen3-0.6B</t>
        </is>
      </c>
      <c r="K67" s="2" t="inlineStr">
        <is>
          <t>BAAI/bge-small-en-v1.5 (evaluator aligner; semantic retrieval not invoked)</t>
        </is>
      </c>
      <c r="L67" s="2" t="inlineStr">
        <is>
          <t>SUCCESS</t>
        </is>
      </c>
      <c r="M67" s="2" t="inlineStr"/>
      <c r="N67" s="2" t="inlineStr">
        <is>
          <t>Expected CFR section(s) 701.13: all in evidence; none cited in answer. Evidence (3): FDA Guidance: Safety Considerations for Container Labels and Carton Labeling Design to Minimize Medication Err [full_text_or]; FDA Guidance: Draft Guidance for Industry: Hazard Analysis and Risk-Based Preventive Controls for Human Food ( [full_text_or]; 21 CFR 701.13(e)(1) [full_text_or]. Query type GENERAL_REGULATORY_SEARCH; semantic fallback not invoked. Coverage evidence_complete=True.</t>
        </is>
      </c>
      <c r="O67" s="2" t="n">
        <v>66</v>
      </c>
      <c r="P67" s="2" t="inlineStr">
        <is>
          <t>701</t>
        </is>
      </c>
      <c r="Q67" s="2" t="inlineStr">
        <is>
          <t>Specific Requirement</t>
        </is>
      </c>
      <c r="R67" s="2" t="inlineStr">
        <is>
          <t>Intermediate</t>
        </is>
      </c>
      <c r="S67" s="2" t="inlineStr">
        <is>
          <t>21 CFR 701.13(e), (e)(1)</t>
        </is>
      </c>
      <c r="T67" s="2" t="n">
        <v>0</v>
      </c>
      <c r="U67" s="2" t="n">
        <v>0</v>
      </c>
      <c r="V67" s="2" t="n">
        <v>0</v>
      </c>
      <c r="W67" s="2" t="n">
        <v>0</v>
      </c>
      <c r="X67" s="2" t="n">
        <v>1</v>
      </c>
      <c r="Y67" s="2" t="inlineStr">
        <is>
          <t>Withheld by validator (no answer shown)</t>
        </is>
      </c>
      <c r="Z67" s="2" t="inlineStr">
        <is>
          <t>initial unsupported [unsupported_claim] -&gt; final unsupported; repair applied; fallback unvalidated_answer_withheld</t>
        </is>
      </c>
      <c r="AA67" s="2" t="inlineStr"/>
      <c r="AB67" s="2" t="inlineStr">
        <is>
          <t>FAIL</t>
        </is>
      </c>
      <c r="AC67" s="2" t="n">
        <v>0</v>
      </c>
      <c r="AD67" s="2" t="inlineStr">
        <is>
          <t>Incorrect refusal: the generated answer failed validation and was suppressed, so the question went unanswered - the suppression was right, the outcome is still no answer</t>
        </is>
      </c>
      <c r="AE67" s="3" t="n">
        <v>13.903</v>
      </c>
      <c r="AF67" s="3" t="n">
        <v>1.187</v>
      </c>
      <c r="AG67" s="3" t="n">
        <v>12.711</v>
      </c>
      <c r="AH67" s="3" t="n">
        <v>0.001</v>
      </c>
      <c r="AI67" s="2" t="inlineStr"/>
    </row>
    <row r="68">
      <c r="A68" s="2" t="inlineStr">
        <is>
          <t>COS-701.13-Q1</t>
        </is>
      </c>
      <c r="B68" s="2" t="inlineStr">
        <is>
          <t>Our 8 fl oz shampoo bottle has a 12-square-inch principal display panel. How must we declare net contents, and in what type size and position?</t>
        </is>
      </c>
      <c r="C68" s="2" t="inlineStr">
        <is>
          <t>§ 701.13(a), (j): fluid ounces, e.g., 'Net contents 8 fl. oz.' or '8 fl. oz.' ('net contents' optional). (i)(2): PDP over 5 and up to 25 sq in requires at least 1/8 inch letters. (f): a distinct item within the bottom 30 percent of the PDP, in lines generally parallel to the base, separated above/below by the lettering height and left/right by twice the width of 'N'.</t>
        </is>
      </c>
      <c r="D68" s="2" t="inlineStr">
        <is>
          <t>The FDA requires that net contents be declared in a type size established in relation to the area of the principal display panel of the package. This declaration must be uniform for all packages of substantially the same size.</t>
        </is>
      </c>
      <c r="E68" s="2" t="inlineStr">
        <is>
          <t>PARTIALLY FAIL</t>
        </is>
      </c>
      <c r="F68" s="2" t="inlineStr">
        <is>
          <t>Partly correct but too thin to act on. States only that type size is set by the PDP area and must be uniform for same-size packages. Omits the key's specifics: fluid ounces ('8 fl. oz.'), at least 1/8-inch letters for a 5-25 sq in PDP, and placement as a distinct item in the bottom 30% of the PDP. No citation; 701.13 was not in the retrieved evidence.</t>
        </is>
      </c>
      <c r="G68" s="3" t="n">
        <v>9.827</v>
      </c>
      <c r="H68" s="4" t="n">
        <v>1385</v>
      </c>
      <c r="I68" s="4" t="n">
        <v>92</v>
      </c>
      <c r="J68" s="2" t="inlineStr">
        <is>
          <t>Qwen/Qwen3-0.6B</t>
        </is>
      </c>
      <c r="K68" s="2" t="inlineStr">
        <is>
          <t>BAAI/bge-small-en-v1.5 (evaluator aligner; semantic retrieval not invoked)</t>
        </is>
      </c>
      <c r="L68" s="2" t="inlineStr">
        <is>
          <t>SUCCESS</t>
        </is>
      </c>
      <c r="M68" s="2" t="inlineStr"/>
      <c r="N68" s="2" t="inlineStr">
        <is>
          <t>Expected CFR section(s) 701.13: none in evidence; none cited in answer. Evidence (4): FDA Guidance: Guidance for Industry: A Labeling Guide for Restaurants and Retail Establishments Selling Away-F [full_text_or]; FDA Guidance: Guidance for Industry: Questions and Answers Regarding the Final Rule, Prevention of Salmonella  [full_text_or]; 21 CFR 101.7(i) [full_text_or]; 21 CFR 501.105(i) [full_text_or]. Query type GENERAL_REGULATORY_SEARCH; semantic fallback not invoked. Coverage evidence_complete=True.</t>
        </is>
      </c>
      <c r="O68" s="2" t="n">
        <v>67</v>
      </c>
      <c r="P68" s="2" t="inlineStr">
        <is>
          <t>701</t>
        </is>
      </c>
      <c r="Q68" s="2" t="inlineStr">
        <is>
          <t>How to Comply</t>
        </is>
      </c>
      <c r="R68" s="2" t="inlineStr">
        <is>
          <t>Intermediate</t>
        </is>
      </c>
      <c r="S68" s="2" t="inlineStr">
        <is>
          <t>21 CFR 701.13(a), (f), (i)(2), (j)</t>
        </is>
      </c>
      <c r="T68" s="2" t="n">
        <v>0</v>
      </c>
      <c r="U68" s="2" t="n">
        <v>0</v>
      </c>
      <c r="V68" s="2" t="n">
        <v>1</v>
      </c>
      <c r="W68" s="2" t="n">
        <v>0</v>
      </c>
      <c r="X68" s="2" t="n">
        <v>1</v>
      </c>
      <c r="Y68" s="2" t="inlineStr">
        <is>
          <t>Generated answer</t>
        </is>
      </c>
      <c r="Z68" s="2" t="inlineStr">
        <is>
          <t>initial evidence_mismatched [invented_condition] -&gt; final valid; repair applied</t>
        </is>
      </c>
      <c r="AA68" s="2" t="inlineStr"/>
      <c r="AB68" s="2" t="inlineStr">
        <is>
          <t>FAIL</t>
        </is>
      </c>
      <c r="AC68" s="2" t="n">
        <v>0</v>
      </c>
      <c r="AD68" s="2" t="inlineStr">
        <is>
          <t>Partially correct: 1 statement(s) could not be verified</t>
        </is>
      </c>
      <c r="AE68" s="3" t="n">
        <v>9.776999999999999</v>
      </c>
      <c r="AF68" s="3" t="n">
        <v>0.839</v>
      </c>
      <c r="AG68" s="3" t="n">
        <v>8.929</v>
      </c>
      <c r="AH68" s="3" t="n">
        <v>0.048</v>
      </c>
      <c r="AI68" s="2" t="inlineStr"/>
    </row>
    <row r="69">
      <c r="A69" s="2" t="inlineStr">
        <is>
          <t>COS-701.13-Q3</t>
        </is>
      </c>
      <c r="B69" s="2" t="inlineStr">
        <is>
          <t>Our aerosol hair spray: do we declare the propellant in net quantity, and on what basis?</t>
        </is>
      </c>
      <c r="C69" s="2" t="inlineStr">
        <is>
          <t>§ 701.13(g): the declaration must accurately reveal the quantity of cosmetic in the package, exclusive of wrappers and other packing material. (g)(1): for a pressurized container, state the net quantity of contents that will be expelled when the instructions for use are followed; the propellant is included in the net quantity declaration.</t>
        </is>
      </c>
      <c r="D69" s="2" t="inlineStr">
        <is>
          <t>The aerosol hair spray must be declared the net quantity of contents, and the quantity should be presented in whole numbers, not with a decimal point that is followed by a trailing zero (e.g., 4 mg, not 4.0 mg). This is based on FDA guidance [1]. The net quantity declaration must also state the quantity of the contents that will be expelled when the instructions for use are followed, provided that the contents are packed under pressure. The propellant is included in the net quantity declaration, as required by FDA regulation [3].</t>
        </is>
      </c>
      <c r="E69" s="2" t="inlineStr">
        <is>
          <t>PARTIALLY PASS</t>
        </is>
      </c>
      <c r="F69" s="2" t="inlineStr">
        <is>
          <t>Substantively correct on the key point: for a pressurized container, declare the quantity expelled when used as directed, and the propellant is included (matches 701.13(g)(1)). But the statement was drawn from the food rule 101.7(g) and is cited to 21 CFR 700.14(b), a vinyl-chloride provision - a wrong citation - and 701.13 is never named. It also adds an unrelated drug-label 'no trailing zero' recommendation, attributed to guidance.</t>
        </is>
      </c>
      <c r="G69" s="3" t="n">
        <v>11.955</v>
      </c>
      <c r="H69" s="4" t="n">
        <v>1386</v>
      </c>
      <c r="I69" s="4" t="n">
        <v>122</v>
      </c>
      <c r="J69" s="2" t="inlineStr">
        <is>
          <t>Qwen/Qwen3-0.6B</t>
        </is>
      </c>
      <c r="K69" s="2" t="inlineStr">
        <is>
          <t>BAAI/bge-small-en-v1.5 (evaluator aligner; semantic retrieval not invoked)</t>
        </is>
      </c>
      <c r="L69" s="2" t="inlineStr">
        <is>
          <t>SUCCESS</t>
        </is>
      </c>
      <c r="M69" s="2" t="inlineStr"/>
      <c r="N69" s="2" t="inlineStr">
        <is>
          <t>Expected CFR section(s) 701.13: none in evidence; none cited in answer. Evidence (4): FDA Guidance: Safety Considerations for Container Labels and Carton Labeling Design to Minimize Medication Err [full_text_or]; FDA Guidance: Guidance for Industry: Nutrition and Supplement Facts Labels Questions and Answers Related to th [full_text_or]; 21 CFR 700.14(b) [full_text_or]; 21 CFR 101.7(g) [full_text_or]. Query type GENERAL_REGULATORY_SEARCH; semantic fallback not invoked. Coverage evidence_complete=True.</t>
        </is>
      </c>
      <c r="O69" s="2" t="n">
        <v>68</v>
      </c>
      <c r="P69" s="2" t="inlineStr">
        <is>
          <t>701</t>
        </is>
      </c>
      <c r="Q69" s="2" t="inlineStr">
        <is>
          <t>How to Comply</t>
        </is>
      </c>
      <c r="R69" s="2" t="inlineStr">
        <is>
          <t>Intermediate</t>
        </is>
      </c>
      <c r="S69" s="2" t="inlineStr">
        <is>
          <t>21 CFR 701.13(g)(1)</t>
        </is>
      </c>
      <c r="T69" s="2" t="n">
        <v>0</v>
      </c>
      <c r="U69" s="2" t="n">
        <v>0</v>
      </c>
      <c r="V69" s="2" t="n">
        <v>2</v>
      </c>
      <c r="W69" s="2" t="n">
        <v>1</v>
      </c>
      <c r="X69" s="2" t="n">
        <v>1</v>
      </c>
      <c r="Y69" s="2" t="inlineStr">
        <is>
          <t>Generated answer</t>
        </is>
      </c>
      <c r="Z69" s="2" t="inlineStr">
        <is>
          <t>initial valid -&gt; final valid</t>
        </is>
      </c>
      <c r="AA69" s="2" t="inlineStr">
        <is>
          <t>[1] = FDA Guidance: Safety Considerations for Container Labels and Carton Labeling Design to Minimize Medication Errors (final, 2022-05-18, Docket FDA-2013-D-0401); [3] = 21 CFR 700.14(b)</t>
        </is>
      </c>
      <c r="AB69" s="2" t="inlineStr">
        <is>
          <t>FAIL</t>
        </is>
      </c>
      <c r="AC69" s="2" t="n">
        <v>25</v>
      </c>
      <c r="AD69" s="2" t="inlineStr">
        <is>
          <t>Partially correct: 2 statement(s) could not be verified; 2 statement(s) only partly address the question - e.g. the regulation it corresponds to (FDA Guidance: Safety Considerations for Container Labels and Carton Labeling Design to Minimize Medication Errors (final, 2022-05-18, Docket FDA-2013-D-0401), 21 CFR 101.7(g)) is about declar/net/quant</t>
        </is>
      </c>
      <c r="AE69" s="3" t="n">
        <v>11.855</v>
      </c>
      <c r="AF69" s="3" t="n">
        <v>0.536</v>
      </c>
      <c r="AG69" s="3" t="n">
        <v>11.313</v>
      </c>
      <c r="AH69" s="3" t="n">
        <v>0.097</v>
      </c>
      <c r="AI69" s="2" t="inlineStr"/>
    </row>
    <row r="70">
      <c r="A70" s="2" t="inlineStr">
        <is>
          <t>COS-710.2-Q1</t>
        </is>
      </c>
      <c r="B70" s="2" t="inlineStr">
        <is>
          <t>We started packaging cosmetics last month. What deadline does § 710.2 give, and is it binding?</t>
        </is>
      </c>
      <c r="C70" s="2" t="inlineStr">
        <is>
          <t>§ 710.2: the owner or operator 'should' register within 30 days after beginning the manufacturing or packaging operation. It is part of the voluntary Part 710 program, which FDA stopped accepting in March 2023. The binding deadline is FD&amp;C Act 607(a)(1)(B): within 60 days of beginning, or 60 days after the (a)(1)(A) deadline, whichever is later.</t>
        </is>
      </c>
      <c r="D70" s="2" t="inlineStr">
        <is>
          <t>The requested provision [1] states that the owner or operator of an establishment entering into the manufacture or packaging of a cosmetic product should register his establishment within 30 days after the operation begins. This deadline is binding.</t>
        </is>
      </c>
      <c r="E70" s="2" t="inlineStr">
        <is>
          <t>PARTIALLY FAIL</t>
        </is>
      </c>
      <c r="F70" s="2" t="inlineStr">
        <is>
          <t>Partly correct. Correctly states 710.2's 30-day 'should register' timing (cited 710.2), but then says 'This deadline is binding'. The key: 710.2 is part of the voluntary Part 710 program (no longer accepted since March 2023); the binding deadline is FD&amp;C Act 607(a)(1)(B) (60 days). The binding-status answer is wrong and the statutory requirement is missing. Fabricated = 1 (bank Instructions rule 3, invented requirement): Invented binding status: the voluntary 710.2 'should register within 30 days' is stated to be binding.</t>
        </is>
      </c>
      <c r="G70" s="3" t="n">
        <v>4.345</v>
      </c>
      <c r="H70" s="4" t="n">
        <v>662</v>
      </c>
      <c r="I70" s="4" t="n">
        <v>45</v>
      </c>
      <c r="J70" s="2" t="inlineStr">
        <is>
          <t>Qwen/Qwen3-0.6B</t>
        </is>
      </c>
      <c r="K70" s="2" t="inlineStr">
        <is>
          <t>BAAI/bge-small-en-v1.5 (evaluator aligner; semantic retrieval not invoked)</t>
        </is>
      </c>
      <c r="L70" s="2" t="inlineStr">
        <is>
          <t>SUCCESS</t>
        </is>
      </c>
      <c r="M70" s="2" t="inlineStr"/>
      <c r="N70" s="2" t="inlineStr">
        <is>
          <t>Key cites FD&amp;C Act (statute) and CFR; statute text is not in the Regulus corpus. Expected CFR section(s) 710.2: all in evidence; cited in answer: 710.2. Evidence (1): 21 CFR 710.2 [exact_cfr]. Query type EXACT_CFR; semantic fallback not invoked. Coverage evidence_complete=True.</t>
        </is>
      </c>
      <c r="O70" s="2" t="n">
        <v>69</v>
      </c>
      <c r="P70" s="2" t="inlineStr">
        <is>
          <t>710</t>
        </is>
      </c>
      <c r="Q70" s="2" t="inlineStr">
        <is>
          <t>Specific Requirement</t>
        </is>
      </c>
      <c r="R70" s="2" t="inlineStr">
        <is>
          <t>Basic</t>
        </is>
      </c>
      <c r="S70" s="2" t="inlineStr">
        <is>
          <t>21 CFR 710.2; 21 U.S.C. 364c(a)(1)</t>
        </is>
      </c>
      <c r="T70" s="2" t="n">
        <v>1</v>
      </c>
      <c r="U70" s="2" t="n">
        <v>1</v>
      </c>
      <c r="V70" s="2" t="n">
        <v>1</v>
      </c>
      <c r="W70" s="2" t="n">
        <v>1</v>
      </c>
      <c r="X70" s="2" t="n">
        <v>1</v>
      </c>
      <c r="Y70" s="2" t="inlineStr">
        <is>
          <t>Generated answer</t>
        </is>
      </c>
      <c r="Z70" s="2" t="inlineStr">
        <is>
          <t>initial valid -&gt; final valid</t>
        </is>
      </c>
      <c r="AA70" s="2" t="inlineStr">
        <is>
          <t>[1] = 21 CFR 710.2</t>
        </is>
      </c>
      <c r="AB70" s="2" t="inlineStr">
        <is>
          <t>FAIL</t>
        </is>
      </c>
      <c r="AC70" s="2" t="n">
        <v>30</v>
      </c>
      <c r="AD70" s="2" t="inlineStr">
        <is>
          <t>Partially correct: 1 statement(s) only partly address the question - e.g. the regulation it corresponds to (21 CFR 710.2) is about packag; the answer does not cover: We started packaging cosmetics last month. What deadline does § 710.2 give, is it binding</t>
        </is>
      </c>
      <c r="AE70" s="3" t="n">
        <v>4.326</v>
      </c>
      <c r="AF70" s="3" t="n">
        <v>0.309</v>
      </c>
      <c r="AG70" s="3" t="n">
        <v>4.015</v>
      </c>
      <c r="AH70" s="3" t="n">
        <v>0.018</v>
      </c>
      <c r="AI70" s="2" t="inlineStr"/>
    </row>
    <row r="71">
      <c r="A71" s="2" t="inlineStr">
        <is>
          <t>COS-710.4-Q1</t>
        </is>
      </c>
      <c r="B71" s="2" t="inlineStr">
        <is>
          <t>What information does Form FD-2511 ask for under § 710.4?</t>
        </is>
      </c>
      <c r="C71" s="2" t="inlineStr">
        <is>
          <t>§ 710.4: the name and address of the establishment, including ZIP code; all business trading names used by the establishment; and the type of business (manufacturer and/or packer). Information is given separately for each establishment as defined in § 700.3(j) (a place of business where cosmetic products are manufactured or packaged).</t>
        </is>
      </c>
      <c r="D71" s="2" t="inlineStr">
        <is>
          <t>Form FD-2511 requests information on the name and address of the cosmetic product establishment, including post office ZIP code; all business trading names used by the establishment; and the type of business (manufacturer and/or packer). [1]</t>
        </is>
      </c>
      <c r="E71" s="2" t="inlineStr">
        <is>
          <t>PARTIALLY PASS</t>
        </is>
      </c>
      <c r="F71" s="2" t="inlineStr">
        <is>
          <t>Correct for 710.4 (name and address with ZIP, all trading names, type of business), correctly cited. Omits the key's 700.3(j) element that the information is given separately for each establishment.</t>
        </is>
      </c>
      <c r="G71" s="3" t="n">
        <v>4.673</v>
      </c>
      <c r="H71" s="4" t="n">
        <v>692</v>
      </c>
      <c r="I71" s="4" t="n">
        <v>51</v>
      </c>
      <c r="J71" s="2" t="inlineStr">
        <is>
          <t>Qwen/Qwen3-0.6B</t>
        </is>
      </c>
      <c r="K71" s="2" t="inlineStr">
        <is>
          <t>BAAI/bge-small-en-v1.5 (evaluator aligner; semantic retrieval not invoked)</t>
        </is>
      </c>
      <c r="L71" s="2" t="inlineStr">
        <is>
          <t>SUCCESS</t>
        </is>
      </c>
      <c r="M71" s="2" t="inlineStr"/>
      <c r="N71" s="2" t="inlineStr">
        <is>
          <t>Expected CFR section(s) 700.3, 710.4: missing from evidence: 700.3; cited in answer: 710.4. Evidence (1): 21 CFR 710.4 [exact_cfr]. Query type EXACT_CFR; semantic fallback not invoked. Coverage evidence_complete=True.</t>
        </is>
      </c>
      <c r="O71" s="2" t="n">
        <v>70</v>
      </c>
      <c r="P71" s="2" t="inlineStr">
        <is>
          <t>710</t>
        </is>
      </c>
      <c r="Q71" s="2" t="inlineStr">
        <is>
          <t>Records/Evidence</t>
        </is>
      </c>
      <c r="R71" s="2" t="inlineStr">
        <is>
          <t>Basic</t>
        </is>
      </c>
      <c r="S71" s="2" t="inlineStr">
        <is>
          <t>21 CFR 710.4; 21 CFR 700.3(j), (m)</t>
        </is>
      </c>
      <c r="T71" s="2" t="n">
        <v>1</v>
      </c>
      <c r="U71" s="2" t="n">
        <v>0</v>
      </c>
      <c r="V71" s="2" t="n">
        <v>2</v>
      </c>
      <c r="W71" s="2" t="n">
        <v>1</v>
      </c>
      <c r="X71" s="2" t="n">
        <v>1</v>
      </c>
      <c r="Y71" s="2" t="inlineStr">
        <is>
          <t>Generated answer</t>
        </is>
      </c>
      <c r="Z71" s="2" t="inlineStr">
        <is>
          <t>initial valid -&gt; final valid</t>
        </is>
      </c>
      <c r="AA71" s="2" t="inlineStr">
        <is>
          <t>[1] = 21 CFR 710.4</t>
        </is>
      </c>
      <c r="AB71" s="2" t="inlineStr">
        <is>
          <t>PASS</t>
        </is>
      </c>
      <c r="AC71" s="2" t="n">
        <v>100</v>
      </c>
      <c r="AD71" s="2" t="inlineStr">
        <is>
          <t>Correct: all 1 statement(s) answer the question and are supported by the evidence</t>
        </is>
      </c>
      <c r="AE71" s="3" t="n">
        <v>4.651</v>
      </c>
      <c r="AF71" s="3" t="n">
        <v>0.211</v>
      </c>
      <c r="AG71" s="3" t="n">
        <v>4.438</v>
      </c>
      <c r="AH71" s="3" t="n">
        <v>0.021</v>
      </c>
      <c r="AI71" s="2" t="inlineStr"/>
    </row>
    <row r="72">
      <c r="A72" s="2" t="inlineStr">
        <is>
          <t>COS-710.5-Q1</t>
        </is>
      </c>
      <c r="B72" s="2" t="inlineStr">
        <is>
          <t>We changed our establishment's address. What does § 710.5 say about amending a registration?</t>
        </is>
      </c>
      <c r="C72" s="2" t="inlineStr">
        <is>
          <t>§ 710.5: within 30 days after a change in any information on a submitted Form FD-2511, a new form 'should' be submitted to amend the registration. A new form is also needed to cancel a registration when an establishment changes its name and no longer does business under the original name. This is the voluntary program.</t>
        </is>
      </c>
      <c r="D72" s="2" t="inlineStr">
        <is>
          <t>§ 710.5 says that within 30 days after a change in any of the information contained on a submitted Form FD-2511, a new Form FD-2511 should be submitted to amend the registration. This amendment is also necessary when a registration is to be canceled because an establishment has changed its name and no longer conducts business under the original name. [1]</t>
        </is>
      </c>
      <c r="E72" s="2" t="inlineStr">
        <is>
          <t>PASS</t>
        </is>
      </c>
      <c r="F72" s="2" t="inlineStr">
        <is>
          <t>Correct and complete for 710.5: a new Form FD-2511 'should' be submitted within 30 days of a change, and a new form is needed to cancel when the establishment changes its name; correctly cited. Keeps the provision's advisory 'should'.</t>
        </is>
      </c>
      <c r="G72" s="3" t="n">
        <v>6.731</v>
      </c>
      <c r="H72" s="4" t="n">
        <v>697</v>
      </c>
      <c r="I72" s="4" t="n">
        <v>84</v>
      </c>
      <c r="J72" s="2" t="inlineStr">
        <is>
          <t>Qwen/Qwen3-0.6B</t>
        </is>
      </c>
      <c r="K72" s="2" t="inlineStr">
        <is>
          <t>BAAI/bge-small-en-v1.5 (evaluator aligner; semantic retrieval not invoked)</t>
        </is>
      </c>
      <c r="L72" s="2" t="inlineStr">
        <is>
          <t>SUCCESS</t>
        </is>
      </c>
      <c r="M72" s="2" t="inlineStr"/>
      <c r="N72" s="2" t="inlineStr">
        <is>
          <t>Expected CFR section(s) 710.5: all in evidence; cited in answer: 710.5. Evidence (1): 21 CFR 710.5 [exact_cfr]. Query type EXACT_CFR; semantic fallback not invoked. Coverage evidence_complete=True.</t>
        </is>
      </c>
      <c r="O72" s="2" t="n">
        <v>71</v>
      </c>
      <c r="P72" s="2" t="inlineStr">
        <is>
          <t>710</t>
        </is>
      </c>
      <c r="Q72" s="2" t="inlineStr">
        <is>
          <t>Specific Requirement</t>
        </is>
      </c>
      <c r="R72" s="2" t="inlineStr">
        <is>
          <t>Basic</t>
        </is>
      </c>
      <c r="S72" s="2" t="inlineStr">
        <is>
          <t>21 CFR 710.5</t>
        </is>
      </c>
      <c r="T72" s="2" t="n">
        <v>1</v>
      </c>
      <c r="U72" s="2" t="n">
        <v>0</v>
      </c>
      <c r="V72" s="2" t="n">
        <v>2</v>
      </c>
      <c r="W72" s="2" t="n">
        <v>2</v>
      </c>
      <c r="X72" s="2" t="n">
        <v>1</v>
      </c>
      <c r="Y72" s="2" t="inlineStr">
        <is>
          <t>Generated answer</t>
        </is>
      </c>
      <c r="Z72" s="2" t="inlineStr">
        <is>
          <t>initial valid -&gt; final valid</t>
        </is>
      </c>
      <c r="AA72" s="2" t="inlineStr">
        <is>
          <t>[1] = 21 CFR 710.5</t>
        </is>
      </c>
      <c r="AB72" s="2" t="inlineStr">
        <is>
          <t>PASS</t>
        </is>
      </c>
      <c r="AC72" s="2" t="n">
        <v>100</v>
      </c>
      <c r="AD72" s="2" t="inlineStr">
        <is>
          <t>Correct: all 2 statement(s) answer the question and are supported by the evidence</t>
        </is>
      </c>
      <c r="AE72" s="3" t="n">
        <v>6.704</v>
      </c>
      <c r="AF72" s="3" t="n">
        <v>0.185</v>
      </c>
      <c r="AG72" s="3" t="n">
        <v>6.516</v>
      </c>
      <c r="AH72" s="3" t="n">
        <v>0.026</v>
      </c>
      <c r="AI72" s="2" t="inlineStr"/>
    </row>
    <row r="73">
      <c r="A73" s="2" t="inlineStr">
        <is>
          <t>COS-720.3-Q1</t>
        </is>
      </c>
      <c r="B73" s="2" t="inlineStr">
        <is>
          <t>How do we get Form FDA 2512 and where do we send it once it's completed?</t>
        </is>
      </c>
      <c r="C73" s="2" t="inlineStr">
        <is>
          <t>720.3: Forms FDA 2512 and FDA 2514 ('Discontinuance of Commercial Distribution of Cosmetic Product Formulation') are obtainable on request from FDA, 5001 Campus Dr., College Park, MD 20740, or at any FDA district office. The completed form should be mailed or delivered to: Cosmetic Product Statement, Food and Drug Administration, 5001 Campus Dr., College Park, MD 20740, according to the instructions provided with the forms.</t>
        </is>
      </c>
      <c r="D73" s="2" t="inlineStr">
        <is>
          <t>The generated answer could not be validated against the retrieved regulatory evidence, so it is not shown. The retrieved sources were not verified to answer the question as asked, so their text is not quoted as an answer. Sources consulted: FDA Guidance: Annual Status Report Information and Other Submissions for Postmarketing Requirements and Commitments: Using Forms FDA 3988 and FDA 3989 Guidance for Industry: Guidance for Industry (final, 2023-09-15, Docket FDA-2018-N-3771), FDA Guidance: Draft Guidance for Industry: Hazard Analysis and Risk-Based Preventive Controls for Human Food (draft, 2024-01-30, Docket FDA-2016-D-2343), 21 CFR 101.11(d)(4)(i), 21 CFR 101.8(d)(3)(v).</t>
        </is>
      </c>
      <c r="E73" s="2" t="inlineStr">
        <is>
          <t>FAIL</t>
        </is>
      </c>
      <c r="F73" s="2" t="inlineStr">
        <is>
          <t>No answer delivered: draft withheld (unsupported figure, invented condition). 720.3 was not in the retrieved evidence (drug postmarketing form guidance, food rules), so the key's answer (forms obtainable from FDA College Park or district offices; mail to Cosmetic Product Statement, FDA, College Park) was not provided.</t>
        </is>
      </c>
      <c r="G73" s="3" t="n">
        <v>20.759</v>
      </c>
      <c r="H73" s="4" t="n">
        <v>1536</v>
      </c>
      <c r="I73" s="4" t="n">
        <v>200</v>
      </c>
      <c r="J73" s="2" t="inlineStr">
        <is>
          <t>Qwen/Qwen3-0.6B</t>
        </is>
      </c>
      <c r="K73" s="2" t="inlineStr">
        <is>
          <t>BAAI/bge-small-en-v1.5 (evaluator aligner; semantic retrieval not invoked)</t>
        </is>
      </c>
      <c r="L73" s="2" t="inlineStr">
        <is>
          <t>SUCCESS</t>
        </is>
      </c>
      <c r="M73" s="2" t="inlineStr"/>
      <c r="N73" s="2" t="inlineStr">
        <is>
          <t>Expected CFR section(s) 720.3: none in evidence; none cited in answer. Evidence (4): FDA Guidance: Annual Status Report Information and Other Submissions for Postmarketing Requirements and Commit [full_text_or]; FDA Guidance: Draft Guidance for Industry: Hazard Analysis and Risk-Based Preventive Controls for Human Food ( [full_text_or]; 21 CFR 101.11(d)(4)(i) [full_text_or]; 21 CFR 101.8(d)(3)(v) [full_text_or]. Query type GENERAL_REGULATORY_SEARCH; semantic fallback not invoked. Coverage evidence_complete=True.</t>
        </is>
      </c>
      <c r="O73" s="2" t="n">
        <v>72</v>
      </c>
      <c r="P73" s="2" t="inlineStr">
        <is>
          <t>720</t>
        </is>
      </c>
      <c r="Q73" s="2" t="inlineStr">
        <is>
          <t>How to Comply</t>
        </is>
      </c>
      <c r="R73" s="2" t="inlineStr">
        <is>
          <t>Basic</t>
        </is>
      </c>
      <c r="S73" s="2" t="inlineStr">
        <is>
          <t>21 CFR 720.3</t>
        </is>
      </c>
      <c r="T73" s="2" t="n">
        <v>0</v>
      </c>
      <c r="U73" s="2" t="n">
        <v>0</v>
      </c>
      <c r="V73" s="2" t="n">
        <v>0</v>
      </c>
      <c r="W73" s="2" t="n">
        <v>0</v>
      </c>
      <c r="X73" s="2" t="n">
        <v>1</v>
      </c>
      <c r="Y73" s="2" t="inlineStr">
        <is>
          <t>Withheld by validator (no answer shown)</t>
        </is>
      </c>
      <c r="Z73" s="2" t="inlineStr">
        <is>
          <t>initial unsupported [unsupported_figure, invented_condition] -&gt; final valid; repair applied; fallback unvalidated_answer_withheld</t>
        </is>
      </c>
      <c r="AA73" s="2" t="inlineStr"/>
      <c r="AB73" s="2" t="inlineStr">
        <is>
          <t>FAIL</t>
        </is>
      </c>
      <c r="AC73" s="2" t="n">
        <v>0</v>
      </c>
      <c r="AD73" s="2" t="inlineStr">
        <is>
          <t>Incorrect refusal: the generated answer failed validation and was suppressed, so the question went unanswered - the suppression was right, the outcome is still no answer</t>
        </is>
      </c>
      <c r="AE73" s="3" t="n">
        <v>20.755</v>
      </c>
      <c r="AF73" s="3" t="n">
        <v>0.5669999999999999</v>
      </c>
      <c r="AG73" s="3" t="n">
        <v>20.179</v>
      </c>
      <c r="AH73" s="3" t="n">
        <v>0.001</v>
      </c>
      <c r="AI73" s="2" t="inlineStr"/>
    </row>
    <row r="74">
      <c r="A74" s="2" t="inlineStr">
        <is>
          <t>COS-720.4-Q3</t>
        </is>
      </c>
      <c r="B74" s="2" t="inlineStr">
        <is>
          <t>We sell one permanent hair dye in 12 shades and one lipstick in 8 shades where only the color additive amounts differ. How many Form 2512 statements, and how should ingredients be listed?</t>
        </is>
      </c>
      <c r="C74" s="2" t="inlineStr">
        <is>
          <t>720.4(e): a separate form for each formulation; a single form may cover shades differing only in color additive amounts, except hair coloring preparations listed in (c)(6), which need a statement for each shade. So 12 hair-dye statements; the lipstick shades may share one. Under (d)(1)-(3), list ingredients in descending order of predominance by weight, by the FDA-adopted name under 701.3(c), else common or usual name, else chemical or technical name.</t>
        </is>
      </c>
      <c r="D74" s="2" t="inlineStr">
        <is>
          <t>- **Form 2512 statements**: A separate Form FDA-2512 should be filed for each different formulation of a cosmetic product. However, a single Form FDA-2512 may be filed for two or more shades of a cosmetic product where only the amounts of the color additive ingredient used are varied or in the case of flavors and fragrances where only the amounts of the flavors and fragrances used are varied. [3]
- **Ingredients listing**: Applicants should list nominal amounts for inactive ingredients in composition statements. If a range is more appropriate than a nominal amount or concentration, applicants should clearly indicate the reason for providing a range in the composition statement. [1]  
- **Differences**: The Form 2512 statements apply to hair dye and lipstick formulations, while the ingredients listing requires the use of nominal amounts for inactive ingredients. [3]</t>
        </is>
      </c>
      <c r="E74" s="2" t="inlineStr">
        <is>
          <t>PARTIALLY FAIL</t>
        </is>
      </c>
      <c r="F74" s="2" t="inlineStr">
        <is>
          <t>Partly correct. Quotes the 720.4(e) general rule that one Form 2512 may cover shades differing only in color-additive amounts (correctly cited), but misses the exception that hair coloring preparations need a statement for each shade - so it implies the 12 hair-dye shades could share one form (key: 12 statements). The ingredient-listing part uses an NDA composition-statement guidance (nominal amounts) instead of 720.4(d) (descending order, 701.3(c) names).</t>
        </is>
      </c>
      <c r="G74" s="3" t="n">
        <v>16.871</v>
      </c>
      <c r="H74" s="4" t="n">
        <v>1360</v>
      </c>
      <c r="I74" s="4" t="n">
        <v>180</v>
      </c>
      <c r="J74" s="2" t="inlineStr">
        <is>
          <t>Qwen/Qwen3-0.6B</t>
        </is>
      </c>
      <c r="K74" s="2" t="inlineStr">
        <is>
          <t>BAAI/bge-small-en-v1.5 (evaluator aligner; semantic retrieval not invoked)</t>
        </is>
      </c>
      <c r="L74" s="2" t="inlineStr">
        <is>
          <t>SUCCESS</t>
        </is>
      </c>
      <c r="M74" s="2" t="inlineStr"/>
      <c r="N74" s="2" t="inlineStr">
        <is>
          <t>Expected CFR section(s) 720.4: all in evidence; cited in answer: 720.4. Evidence (4): FDA Guidance: Content and Format of Composition Statement and Corresponding Statement of Ingredients in Labeli [full_text_or]; FDA Guidance: Content and Format of Composition Statement and Corresponding Statement of Ingredients in Labeli [full_text_or]; 21 CFR 720.4(e) [full_text_or]; 21 CFR 720.4(c)(6)(i) [full_text_or]. Query type GENERAL_REGULATORY_SEARCH; semantic fallback not invoked. Coverage evidence_complete=True.</t>
        </is>
      </c>
      <c r="O74" s="2" t="n">
        <v>73</v>
      </c>
      <c r="P74" s="2" t="inlineStr">
        <is>
          <t>720</t>
        </is>
      </c>
      <c r="Q74" s="2" t="inlineStr">
        <is>
          <t>How to Comply</t>
        </is>
      </c>
      <c r="R74" s="2" t="inlineStr">
        <is>
          <t>Advanced</t>
        </is>
      </c>
      <c r="S74" s="2" t="inlineStr">
        <is>
          <t>21 CFR 720.4(c)(6), (c)(7), (d)(1)-(3), (e)</t>
        </is>
      </c>
      <c r="T74" s="2" t="n">
        <v>0</v>
      </c>
      <c r="U74" s="2" t="n">
        <v>0</v>
      </c>
      <c r="V74" s="2" t="n">
        <v>1</v>
      </c>
      <c r="W74" s="2" t="n">
        <v>1</v>
      </c>
      <c r="X74" s="2" t="n">
        <v>1</v>
      </c>
      <c r="Y74" s="2" t="inlineStr">
        <is>
          <t>Generated answer</t>
        </is>
      </c>
      <c r="Z74" s="2" t="inlineStr">
        <is>
          <t>initial valid [qualifier_dropped] -&gt; final valid</t>
        </is>
      </c>
      <c r="AA74" s="2" t="inlineStr">
        <is>
          <t>[3] = 21 CFR 720.4(e); [1] = FDA Guidance: Content and Format of Composition Statement and Corresponding Statement of Ingredients in Labeling in NDAs and ANDAs (draft, 2024-04-29, Docket FDA-2024-D-1461)</t>
        </is>
      </c>
      <c r="AB74" s="2" t="inlineStr">
        <is>
          <t>FAIL</t>
        </is>
      </c>
      <c r="AC74" s="2" t="n">
        <v>40</v>
      </c>
      <c r="AD74" s="2" t="inlineStr">
        <is>
          <t>Partially correct: 1 statement(s) drop a condition the evidence carries; 1 statement(s) could not be verified; 3 statement(s) only partly address the question - e.g. the regulation it corresponds to (21 CFR 720.4(e)) is about form</t>
        </is>
      </c>
      <c r="AE74" s="3" t="n">
        <v>16.743</v>
      </c>
      <c r="AF74" s="3" t="n">
        <v>1.671</v>
      </c>
      <c r="AG74" s="3" t="n">
        <v>15.064</v>
      </c>
      <c r="AH74" s="3" t="n">
        <v>0.126</v>
      </c>
      <c r="AI74" s="2" t="inlineStr"/>
    </row>
    <row r="75">
      <c r="A75" s="2" t="inlineStr">
        <is>
          <t>COS-720.7-Q1</t>
        </is>
      </c>
      <c r="B75" s="2" t="inlineStr">
        <is>
          <t>We mailed our Form FDA 2512 for a hand cream. What will we get back from FDA, and how will we know if something was missing?</t>
        </is>
      </c>
      <c r="C75" s="2" t="inlineStr">
        <is>
          <t>720.7: on receipt, FDA will assign either a permanent cosmetic product ingredient statement number or, where a permanent number cannot be assigned, an FDA reference number. Receipt is acknowledged by sending the individual who signed the statement a notice bearing that number. If the submitter has not complied with 720.4(b)(1) and (b)(2), the person will be notified how the statement is incomplete.</t>
        </is>
      </c>
      <c r="D75"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Hazard Analysis and Risk-Based Preventive Controls for Human Food (draft, 2024-01-30, Docket FDA-2016-D-2343), FDA Guidance: Annual Status Report Information and Other Submissions for Postmarketing Requirements and Commitments: Using Forms FDA 3988 and FDA 3989 Guidance for Industry: Guidance for Industry (final, 2023-09-15, Docket FDA-2018-N-3771), 21 CFR 358.650(d)(5).</t>
        </is>
      </c>
      <c r="E75" s="2" t="inlineStr">
        <is>
          <t>FAIL</t>
        </is>
      </c>
      <c r="F75" s="2" t="inlineStr">
        <is>
          <t>No answer delivered: draft withheld. 720.7 was not in the retrieved evidence, so the key's answer (permanent statement number or FDA reference number; notice of incompleteness) was not provided.</t>
        </is>
      </c>
      <c r="G75" s="3" t="n">
        <v>14.763</v>
      </c>
      <c r="H75" s="4" t="n">
        <v>1482</v>
      </c>
      <c r="I75" s="4" t="n">
        <v>161</v>
      </c>
      <c r="J75" s="2" t="inlineStr">
        <is>
          <t>Qwen/Qwen3-0.6B</t>
        </is>
      </c>
      <c r="K75" s="2" t="inlineStr">
        <is>
          <t>BAAI/bge-small-en-v1.5 (evaluator aligner; semantic retrieval not invoked)</t>
        </is>
      </c>
      <c r="L75" s="2" t="inlineStr">
        <is>
          <t>SUCCESS</t>
        </is>
      </c>
      <c r="M75" s="2" t="inlineStr"/>
      <c r="N75" s="2" t="inlineStr">
        <is>
          <t>Expected CFR section(s) 720.7: none in evidence; none cited in answer. Evidence (3): FDA Guidance: Draft Guidance for Industry: Hazard Analysis and Risk-Based Preventive Controls for Human Food ( [full_text_or]; FDA Guidance: Annual Status Report Information and Other Submissions for Postmarketing Requirements and Commit [full_text_or]; 21 CFR 358.650(d)(5) [full_text_or]. Query type GENERAL_REGULATORY_SEARCH; semantic fallback not invoked. Coverage evidence_complete=True.</t>
        </is>
      </c>
      <c r="O75" s="2" t="n">
        <v>74</v>
      </c>
      <c r="P75" s="2" t="inlineStr">
        <is>
          <t>720</t>
        </is>
      </c>
      <c r="Q75" s="2" t="inlineStr">
        <is>
          <t>Records/Evidence</t>
        </is>
      </c>
      <c r="R75" s="2" t="inlineStr">
        <is>
          <t>Basic</t>
        </is>
      </c>
      <c r="S75" s="2" t="inlineStr">
        <is>
          <t>21 CFR 720.7</t>
        </is>
      </c>
      <c r="T75" s="2" t="n">
        <v>0</v>
      </c>
      <c r="U75" s="2" t="n">
        <v>0</v>
      </c>
      <c r="V75" s="2" t="n">
        <v>0</v>
      </c>
      <c r="W75" s="2" t="n">
        <v>0</v>
      </c>
      <c r="X75" s="2" t="n">
        <v>1</v>
      </c>
      <c r="Y75" s="2" t="inlineStr">
        <is>
          <t>Withheld by validator (no answer shown)</t>
        </is>
      </c>
      <c r="Z75" s="2" t="inlineStr">
        <is>
          <t>initial unsupported [unsupported_figure, invented_condition, unsupported_claim] -&gt; final valid; repair applied; fallback unvalidated_answer_withheld</t>
        </is>
      </c>
      <c r="AA75" s="2" t="inlineStr"/>
      <c r="AB75" s="2" t="inlineStr">
        <is>
          <t>FAIL</t>
        </is>
      </c>
      <c r="AC75" s="2" t="n">
        <v>0</v>
      </c>
      <c r="AD75" s="2" t="inlineStr">
        <is>
          <t>Incorrect refusal: the generated answer failed validation and was suppressed, so the question went unanswered - the suppression was right, the outcome is still no answer</t>
        </is>
      </c>
      <c r="AE75" s="3" t="n">
        <v>14.76</v>
      </c>
      <c r="AF75" s="3" t="n">
        <v>0.589</v>
      </c>
      <c r="AG75" s="3" t="n">
        <v>14.164</v>
      </c>
      <c r="AH75" s="3" t="n">
        <v>0.001</v>
      </c>
      <c r="AI75" s="2" t="inlineStr"/>
    </row>
    <row r="76">
      <c r="A76" s="2" t="inlineStr">
        <is>
          <t>COS-720.8-Q1</t>
        </is>
      </c>
      <c r="B76" s="2" t="inlineStr">
        <is>
          <t>Our serum uses a proprietary peptide we don't want disclosed. If we file Form 2512, how do we ask FDA to keep that ingredient's identity confidential?</t>
        </is>
      </c>
      <c r="C76" s="2" t="inlineStr">
        <is>
          <t>720.8(b): a full, well-organized statement of factual and legal grounds, with supporting data and representative unfavorable information, addressing (1) knowledge outside your business, (2) knowledge by employees and others, (3) secrecy measures, (4) value to you and competitors, (5) development effort or money, (6) ease of proper acquisition or duplication. (c): state it was not published or disclosed except per 20.81(a).</t>
        </is>
      </c>
      <c r="D76" s="2" t="inlineStr">
        <is>
          <t>The available regulatory sources do not provide enough information to answer this question. [4]</t>
        </is>
      </c>
      <c r="E76" s="2" t="inlineStr">
        <is>
          <t>FAIL</t>
        </is>
      </c>
      <c r="F76" s="2" t="inlineStr">
        <is>
          <t>Declined, citing 108.25(k) (acidified foods). 720.8 was not in the retrieved evidence, so the key's trade-secret request requirements (720.8(b)(1)-(6), (c)) were not provided.</t>
        </is>
      </c>
      <c r="G76" s="3" t="n">
        <v>5.046</v>
      </c>
      <c r="H76" s="4" t="n">
        <v>1457</v>
      </c>
      <c r="I76" s="4" t="n">
        <v>18</v>
      </c>
      <c r="J76" s="2" t="inlineStr">
        <is>
          <t>Qwen/Qwen3-0.6B</t>
        </is>
      </c>
      <c r="K76" s="2" t="inlineStr">
        <is>
          <t>BAAI/bge-small-en-v1.5 (evaluator aligner; semantic retrieval not invoked)</t>
        </is>
      </c>
      <c r="L76" s="2" t="inlineStr">
        <is>
          <t>SUCCESS</t>
        </is>
      </c>
      <c r="M76" s="2" t="inlineStr"/>
      <c r="N76" s="2" t="inlineStr">
        <is>
          <t>Expected CFR section(s) 720.8: none in evidence; none cited in answer. Evidence (4): FDA Guidance: Draft Guidance for Industry: New Dietary Ingredient Notifications and Related Issues (draft, 202 [full_text_or]; FDA Guidance: CVM GFI #240 Proprietary Names for New Animal Drugs (final, 2020-06-01, Docket FDA-2018-D-0626) [full_text_or]; 21 CFR 171.1(i)(ii)(iii)(b)(iv)(v)(2) [full_text_or]; 21 CFR 108.25(k) [full_text_or]. Query type GENERAL_REGULATORY_SEARCH; semantic fallback not invoked. Coverage evidence_complete=True.</t>
        </is>
      </c>
      <c r="O76" s="2" t="n">
        <v>75</v>
      </c>
      <c r="P76" s="2" t="inlineStr">
        <is>
          <t>720</t>
        </is>
      </c>
      <c r="Q76" s="2" t="inlineStr">
        <is>
          <t>How to Comply</t>
        </is>
      </c>
      <c r="R76" s="2" t="inlineStr">
        <is>
          <t>Advanced</t>
        </is>
      </c>
      <c r="S76" s="2" t="inlineStr">
        <is>
          <t>21 CFR 720.8(a)-(c)</t>
        </is>
      </c>
      <c r="T76" s="2" t="n">
        <v>0</v>
      </c>
      <c r="U76" s="2" t="n">
        <v>0</v>
      </c>
      <c r="V76" s="2" t="n">
        <v>0</v>
      </c>
      <c r="W76" s="2" t="n">
        <v>0</v>
      </c>
      <c r="X76" s="2" t="n">
        <v>1</v>
      </c>
      <c r="Y76" s="2" t="inlineStr">
        <is>
          <t>Generated answer</t>
        </is>
      </c>
      <c r="Z76" s="2" t="inlineStr">
        <is>
          <t>initial valid -&gt; final valid</t>
        </is>
      </c>
      <c r="AA76" s="2" t="inlineStr">
        <is>
          <t>[4] = 21 CFR 108.25(k)</t>
        </is>
      </c>
      <c r="AB76" s="2" t="inlineStr">
        <is>
          <t>NOT EVALUATED</t>
        </is>
      </c>
      <c r="AC76" s="2" t="n"/>
      <c r="AD76" s="2" t="inlineStr">
        <is>
          <t>Cannot be verified: the answer declines, and neither the pipeline state nor the retrieved evidence establishes whether the question could have been answered</t>
        </is>
      </c>
      <c r="AE76" s="3" t="n">
        <v>5.043</v>
      </c>
      <c r="AF76" s="3" t="n">
        <v>1.885</v>
      </c>
      <c r="AG76" s="3" t="n">
        <v>3.152</v>
      </c>
      <c r="AH76" s="3" t="n">
        <v>0.001</v>
      </c>
      <c r="AI76" s="2" t="inlineStr"/>
    </row>
    <row r="77">
      <c r="A77" s="2" t="inlineStr">
        <is>
          <t>COS-740.11-Q1</t>
        </is>
      </c>
      <c r="B77" s="2" t="inlineStr">
        <is>
          <t>We're launching an aerosol dry shampoo. What warning must the can carry?</t>
        </is>
      </c>
      <c r="C77" s="2" t="inlineStr">
        <is>
          <t>740.11(a)(1): 'Warning—Avoid spraying in eyes. Contents under pressure. Do not puncture or incinerate. Do not store at temperature above 120 °F. Keep out of reach of children.' Permitted variations: (2) children's products may add 'except under adult supervision'; (3) glass containers may use 'break' for 'puncture'; (4) 'Avoid spraying in eyes' may be deleted if not expelled as a spray. Also check (b) for halocarbon/hydrocarbon propellants.</t>
        </is>
      </c>
      <c r="D77" s="2" t="inlineStr">
        <is>
          <t>The can must carry the following warnings: 1. WARNING: Tobacco smoke can harm your children. 2. WARNING: Tobacco smoke causes fatal lung disease in nonsmokers. 3. WARNING: Smoking causes type 2 diabetes, which raises blood sugar. 4. WARNING: Smoking reduces blood flow to the limbs, which can require amputation. 5. WARNING: Smoking causes cataracts, which can lead to blindness. 6. WARNING: Smoking causes bladder cancer, which can lead to bloody urine. 7. WARNING: Smoking reduces blood flow, which can cause erectus. [1]  
The can must also carry the following sub-requirements: 8. If applicable, print 1,000 of each required warning on batches of packages simultaneously for each print run. 9. The warnings must be displayed in sequential order for a total of 11,000 required warnings (1,000 of each required warning). [1]</t>
        </is>
      </c>
      <c r="E77" s="2" t="inlineStr">
        <is>
          <t>FAIL</t>
        </is>
      </c>
      <c r="F77" s="2" t="inlineStr">
        <is>
          <t>Wrong. Lists cigarette health warnings ('Tobacco smoke can harm your children', etc.) and cigarette print-run rules for an aerosol dry shampoo. Key: the 740.11(a)(1) aerosol warning ('Avoid spraying in eyes. Contents under pressure...') with its permitted variations. 740.11 was not in the retrieved evidence. Fabricated = 1 (bank Instructions rule 3, invented requirement): Cigarette health warnings stated as required on an aerosol dry-shampoo can.</t>
        </is>
      </c>
      <c r="G77" s="3" t="n">
        <v>18.789</v>
      </c>
      <c r="H77" s="4" t="n">
        <v>1544</v>
      </c>
      <c r="I77" s="4" t="n">
        <v>203</v>
      </c>
      <c r="J77" s="2" t="inlineStr">
        <is>
          <t>Qwen/Qwen3-0.6B</t>
        </is>
      </c>
      <c r="K77" s="2" t="inlineStr">
        <is>
          <t>BAAI/bge-small-en-v1.5 (evaluator aligner; semantic retrieval not invoked)</t>
        </is>
      </c>
      <c r="L77" s="2" t="inlineStr">
        <is>
          <t>SUCCESS</t>
        </is>
      </c>
      <c r="M77" s="2" t="inlineStr"/>
      <c r="N77" s="2" t="inlineStr">
        <is>
          <t>Expected CFR section(s) 740.11: none in evidence; none cited in answer. Evidence (4): FDA Guidance: Submission of Plans for Cigarette Packages and Cigarette Advertisements (Revised) (final, 2024-0 [full_text_or]; FDA Guidance: Labeling OTC Human Drug Products -- Questions and Answers (final, 2009-01-05, Docket FDA-2004-D- [full_text_or]; 21 CFR 358.650(d)(4)(i) [full_text_or]; 21 CFR 358.650(d)(4)(ii) [full_text_or]. Query type GENERAL_REGULATORY_SEARCH; semantic fallback not invoked. Coverage evidence_complete=True.</t>
        </is>
      </c>
      <c r="O77" s="2" t="n">
        <v>76</v>
      </c>
      <c r="P77" s="2" t="inlineStr">
        <is>
          <t>740</t>
        </is>
      </c>
      <c r="Q77" s="2" t="inlineStr">
        <is>
          <t>Specific Requirement</t>
        </is>
      </c>
      <c r="R77" s="2" t="inlineStr">
        <is>
          <t>Intermediate</t>
        </is>
      </c>
      <c r="S77" s="2" t="inlineStr">
        <is>
          <t>21 CFR 740.11(a)(1)-(4)</t>
        </is>
      </c>
      <c r="T77" s="2" t="n">
        <v>0</v>
      </c>
      <c r="U77" s="2" t="n">
        <v>1</v>
      </c>
      <c r="V77" s="2" t="n">
        <v>0</v>
      </c>
      <c r="W77" s="2" t="n">
        <v>0</v>
      </c>
      <c r="X77" s="2" t="n">
        <v>1</v>
      </c>
      <c r="Y77" s="2" t="inlineStr">
        <is>
          <t>Generated answer</t>
        </is>
      </c>
      <c r="Z77" s="2" t="inlineStr">
        <is>
          <t>initial valid -&gt; final valid</t>
        </is>
      </c>
      <c r="AA77" s="2" t="inlineStr">
        <is>
          <t>[1] = FDA Guidance: Submission of Plans for Cigarette Packages and Cigarette Advertisements (Revised) (final, 2024-09-12, Docket FDA-2019-D-5364)</t>
        </is>
      </c>
      <c r="AB77" s="2" t="inlineStr">
        <is>
          <t>FAIL</t>
        </is>
      </c>
      <c r="AC77" s="2" t="n">
        <v>15</v>
      </c>
      <c r="AD77" s="2" t="inlineStr">
        <is>
          <t>Partially correct: 3 statement(s) could not be verified; 10 statement(s) only partly address the question - e.g. the regulation it corresponds to (FDA Guidance: Submission of Plans for Cigarette Packages and Cigarette Advertisements (Revised) (final, 2024-09-12, Docket FDA-2019-D-5364)) is about warn; the answer does not cover: the question's subject</t>
        </is>
      </c>
      <c r="AE77" s="3" t="n">
        <v>18.666</v>
      </c>
      <c r="AF77" s="3" t="n">
        <v>0.456</v>
      </c>
      <c r="AG77" s="3" t="n">
        <v>18.201</v>
      </c>
      <c r="AH77" s="3" t="n">
        <v>0.122</v>
      </c>
      <c r="AI77" s="2" t="inlineStr"/>
    </row>
    <row r="78">
      <c r="A78" s="2" t="inlineStr">
        <is>
          <t>COS-740.11-Q2</t>
        </is>
      </c>
      <c r="B78" s="2" t="inlineStr">
        <is>
          <t>Our hairspray uses a hydrocarbon propellant. Do we need the 'intentional misuse' warning, and are there exemptions?</t>
        </is>
      </c>
      <c r="C78" s="2" t="inlineStr">
        <is>
          <t>Yes. 740.11(b)(1), in addition to (a)(1), for propellant wholly or partly halocarbon or hydrocarbon: 'Warning—Use only as directed. Intentional misuse by deliberately concentrating and inhaling the contents can be harmful or fatal.' Not required for: (i) foam or cream products with less than 10 percent propellant; (ii) containers with a physical barrier preventing propellant escape at use; (iii) under 2 oz net with metered valve; (iv) under 1/2 oz net.</t>
        </is>
      </c>
      <c r="D78" s="2" t="inlineStr">
        <is>
          <t>The FDA requires that the label of a product containing a hydrocarbon propellant must include a warning about intentional misuse, as specified in 21 CFR 369.21. This warning applies to the use of the product in a self-pressurized container in which the propellant is a halocarbon or hydrocarbon. Additionally, the label must include a warning about the harmful effects of intentional misuse, as required by 21 CFR 501.17(b)(1). If applicable, the warning must also be included in the Warnings section of the label. The requirement applies to all devices and persons who use the product. [1][4][5]</t>
        </is>
      </c>
      <c r="E78" s="2" t="inlineStr">
        <is>
          <t>PARTIALLY FAIL</t>
        </is>
      </c>
      <c r="F78" s="2" t="inlineStr">
        <is>
          <t>Conclusion right (an intentional-misuse warning is required for a hydrocarbon propellant) but grounded in the wrong regulations - 21 CFR 369.21 (OTC drugs) and 501.17(b)(1) (animal food) - instead of 740.11(b)(1), and the exemptions asked about (foam &lt;10% propellant, barrier containers, &lt;2 oz metered, &lt;1/2 oz) are omitted. 740.11 was not in the retrieved evidence.</t>
        </is>
      </c>
      <c r="G78" s="3" t="n">
        <v>16.267</v>
      </c>
      <c r="H78" s="4" t="n">
        <v>1529</v>
      </c>
      <c r="I78" s="4" t="n">
        <v>142</v>
      </c>
      <c r="J78" s="2" t="inlineStr">
        <is>
          <t>Qwen/Qwen3-0.6B</t>
        </is>
      </c>
      <c r="K78" s="2" t="inlineStr">
        <is>
          <t>BAAI/bge-small-en-v1.5 (evaluator aligner; semantic retrieval not invoked)</t>
        </is>
      </c>
      <c r="L78" s="2" t="inlineStr">
        <is>
          <t>SUCCESS</t>
        </is>
      </c>
      <c r="M78" s="2" t="inlineStr"/>
      <c r="N78" s="2" t="inlineStr">
        <is>
          <t>Expected CFR section(s) 740.11: none in evidence; none cited in answer. Evidence (5): FDA Guidance: Labeling OTC Human Drug Products -- Questions and Answers (final, 2009-01-05, Docket FDA-2004-D- [full_text_or]; FDA Guidance: Labeling OTC Human Drug Products; Small Entity Compliance Guide: Guidance for Industry (final, 2 [full_text_or]; 21 CFR 369.21 [full_text_or]; 21 CFR 501.17(b)(1) [full_text_or]; 21 CFR 369.21 [full_text_or]. Query type GENERAL_REGULATORY_SEARCH; semantic fallback not invoked. Coverage evidence_complete=True.</t>
        </is>
      </c>
      <c r="O78" s="2" t="n">
        <v>77</v>
      </c>
      <c r="P78" s="2" t="inlineStr">
        <is>
          <t>740</t>
        </is>
      </c>
      <c r="Q78" s="2" t="inlineStr">
        <is>
          <t>Exemption</t>
        </is>
      </c>
      <c r="R78" s="2" t="inlineStr">
        <is>
          <t>Advanced</t>
        </is>
      </c>
      <c r="S78" s="2" t="inlineStr">
        <is>
          <t>21 CFR 740.11(b)(1), (b)(2)(i)-(iv)</t>
        </is>
      </c>
      <c r="T78" s="2" t="n">
        <v>0</v>
      </c>
      <c r="U78" s="2" t="n">
        <v>0</v>
      </c>
      <c r="V78" s="2" t="n">
        <v>1</v>
      </c>
      <c r="W78" s="2" t="n">
        <v>0</v>
      </c>
      <c r="X78" s="2" t="n">
        <v>1</v>
      </c>
      <c r="Y78" s="2" t="inlineStr">
        <is>
          <t>Generated answer</t>
        </is>
      </c>
      <c r="Z78" s="2" t="inlineStr">
        <is>
          <t>initial valid -&gt; final valid</t>
        </is>
      </c>
      <c r="AA78" s="2" t="inlineStr">
        <is>
          <t>[1] = FDA Guidance: Labeling OTC Human Drug Products -- Questions and Answers (final, 2009-01-05, Docket FDA-2004-D-0437); [4] = 21 CFR 501.17(b)(1); [5] = 21 CFR 369.21</t>
        </is>
      </c>
      <c r="AB78" s="2" t="inlineStr">
        <is>
          <t>NOT EVALUATED</t>
        </is>
      </c>
      <c r="AC78" s="2" t="n"/>
      <c r="AD78" s="2" t="inlineStr">
        <is>
          <t>Cannot be verified: 3 statement(s) address the question but none could be verified against the retrieved evidence</t>
        </is>
      </c>
      <c r="AE78" s="3" t="n">
        <v>16.107</v>
      </c>
      <c r="AF78" s="3" t="n">
        <v>2.084</v>
      </c>
      <c r="AG78" s="3" t="n">
        <v>14.016</v>
      </c>
      <c r="AH78" s="3" t="n">
        <v>0.155</v>
      </c>
      <c r="AI78" s="2" t="inlineStr"/>
    </row>
    <row r="79">
      <c r="A79" s="2" t="inlineStr">
        <is>
          <t>COS-740.12-Q1</t>
        </is>
      </c>
      <c r="B79" s="2" t="inlineStr">
        <is>
          <t>We're launching an all-over body deodorant spray marketed to women for 'everywhere freshness.' Does it need a special caution?</t>
        </is>
      </c>
      <c r="C79" s="2" t="inlineStr">
        <is>
          <t>Yes: 740.12(a) covers spray deodorants whose labeling suggests use in the female genital area or all over the body. (b) caution: 'Caution—For external use only. Spray at least 8 inches from skin. Do not apply to broken, irritated, or itching skin. Persistent, unusual odor or discharge may indicate conditions for which a physician should be consulted. Discontinue use immediately if rash, irritation, or discomfort develops.'</t>
        </is>
      </c>
      <c r="D79" s="2" t="inlineStr">
        <is>
          <t>The requested provision requires that the all-over body deodorant spray marketed to women for "everywhere freshness" must be labeled with the word "hygiene" or "hygienic" to avoid misbranding under section 602(a) of the Federal Food, Drug, and Cosmetic Act. Additionally, the use of such a product must not imply medical usefulness under section 502(a) of the Act and be illegal new drugs under section 505 of the Act.</t>
        </is>
      </c>
      <c r="E79" s="2" t="inlineStr">
        <is>
          <t>FAIL</t>
        </is>
      </c>
      <c r="F79" s="2" t="inlineStr">
        <is>
          <t>Wrong. Says the spray 'must be labeled with the word hygiene or hygienic to avoid misbranding' - the opposite of 740.12(c), which says using 'hygiene' renders it misbranded - and never states the required caution. Key: yes, 740.12(a) covers all-over-body sprays and (b) requires the caution text. 740.12(a) and (c) were in the retrieved evidence; (b) was not. Fabricated = 1 (bank Instructions rule 3, invented requirement): Invented requirement: must be labeled 'hygiene'/'hygienic' (740.12(c) says that word misbrands it).</t>
        </is>
      </c>
      <c r="G79" s="3" t="n">
        <v>15.92</v>
      </c>
      <c r="H79" s="4" t="n">
        <v>1447</v>
      </c>
      <c r="I79" s="4" t="n">
        <v>151</v>
      </c>
      <c r="J79" s="2" t="inlineStr">
        <is>
          <t>Qwen/Qwen3-0.6B</t>
        </is>
      </c>
      <c r="K79" s="2" t="inlineStr">
        <is>
          <t>BAAI/bge-small-en-v1.5 (evaluator aligner; semantic retrieval not invoked)</t>
        </is>
      </c>
      <c r="L79" s="2" t="inlineStr">
        <is>
          <t>SUCCESS</t>
        </is>
      </c>
      <c r="M79" s="2" t="inlineStr"/>
      <c r="N79" s="2" t="inlineStr">
        <is>
          <t>Expected CFR section(s) 740.12: all in evidence; none cited in answer. Evidence (4): FDA Guidance: CVM GFI #61 Special Considerations, Incentives, and Programs to Support the Approval of New Anim [full_text_or]; FDA Guidance: Enforcement Priorities for Electronic Nicotine Delivery System (ENDS) and Other Deemed Products  [full_text_or]; 21 CFR 740.12(c) [full_text_or]; 21 CFR 740.12(a) [full_text_or]. Query type GENERAL_REGULATORY_SEARCH; semantic fallback not invoked. Coverage evidence_complete=True.</t>
        </is>
      </c>
      <c r="O79" s="2" t="n">
        <v>78</v>
      </c>
      <c r="P79" s="2" t="inlineStr">
        <is>
          <t>740</t>
        </is>
      </c>
      <c r="Q79" s="2" t="inlineStr">
        <is>
          <t>Specific Requirement</t>
        </is>
      </c>
      <c r="R79" s="2" t="inlineStr">
        <is>
          <t>Intermediate</t>
        </is>
      </c>
      <c r="S79" s="2" t="inlineStr">
        <is>
          <t>21 CFR 740.12(a), (b)</t>
        </is>
      </c>
      <c r="T79" s="2" t="n">
        <v>0</v>
      </c>
      <c r="U79" s="2" t="n">
        <v>1</v>
      </c>
      <c r="V79" s="2" t="n">
        <v>0</v>
      </c>
      <c r="W79" s="2" t="n">
        <v>0</v>
      </c>
      <c r="X79" s="2" t="n">
        <v>1</v>
      </c>
      <c r="Y79" s="2" t="inlineStr">
        <is>
          <t>Generated answer</t>
        </is>
      </c>
      <c r="Z79" s="2" t="inlineStr">
        <is>
          <t>initial evidence_mismatched [invented_condition] -&gt; final valid; repair applied</t>
        </is>
      </c>
      <c r="AA79" s="2" t="inlineStr"/>
      <c r="AB79" s="2" t="inlineStr">
        <is>
          <t>NOT EVALUATED</t>
        </is>
      </c>
      <c r="AC79" s="2" t="n"/>
      <c r="AD79" s="2" t="inlineStr">
        <is>
          <t>Cannot be verified: 2 statement(s) address the question but none could be verified against the retrieved evidence</t>
        </is>
      </c>
      <c r="AE79" s="3" t="n">
        <v>15.866</v>
      </c>
      <c r="AF79" s="3" t="n">
        <v>1.617</v>
      </c>
      <c r="AG79" s="3" t="n">
        <v>14.242</v>
      </c>
      <c r="AH79" s="3" t="n">
        <v>0.05</v>
      </c>
      <c r="AI79" s="2" t="inlineStr"/>
    </row>
    <row r="80">
      <c r="A80" s="2" t="inlineStr">
        <is>
          <t>COS-740.19-Q1</t>
        </is>
      </c>
      <c r="B80" s="2" t="inlineStr">
        <is>
          <t>We sell a tanning oil with no SPF and a DHA self-tanning lotion. Do either need a warning about sun exposure?</t>
        </is>
      </c>
      <c r="C80" s="2" t="inlineStr">
        <is>
          <t>Both, absent a sunscreen ingredient: 740.19 covers UV-tanning cosmetic products and color-additive tans (e.g., dihydroxyacetone). Labeling must display: 'Warning—This product does not contain a sunscreen and does not protect against sunburn. Repeated exposure of unprotected skin while tanning may increase the risk of skin aging, skin cancer, and other harmful effects to the skin even if you do not burn.'</t>
        </is>
      </c>
      <c r="D80" s="2" t="inlineStr">
        <is>
          <t>The generated answer could not be validated against the retrieved regulatory evidence, so it is not shown. The retrieved sources were not verified to answer the question as asked, so their text is not quoted as an answer. Sources consulted: FDA Guidance: Submission of Plans for Cigarette Packages and Cigarette Advertisements (Revised) (final, 2024-09-12, Docket FDA-2019-D-5364), FDA Guidance: Labeling OTC Human Drug Products -- Questions and Answers (final, 2009-01-05, Docket FDA-2004-D-0437), 21 CFR 352.52(e)(1)(i), 21 CFR 352.52(e)(1)(ii).</t>
        </is>
      </c>
      <c r="E80" s="2" t="inlineStr">
        <is>
          <t>FAIL</t>
        </is>
      </c>
      <c r="F80" s="2" t="inlineStr">
        <is>
          <t>No answer delivered: draft withheld (unsupported claim). 740.19 was not in the retrieved evidence (sunscreen drug labeling 352.52, cigarette and OTC guidance), so the key's answer (both need the 'does not contain a sunscreen' warning) was not provided.</t>
        </is>
      </c>
      <c r="G80" s="3" t="n">
        <v>15.331</v>
      </c>
      <c r="H80" s="4" t="n">
        <v>1558</v>
      </c>
      <c r="I80" s="4" t="n">
        <v>148</v>
      </c>
      <c r="J80" s="2" t="inlineStr">
        <is>
          <t>Qwen/Qwen3-0.6B</t>
        </is>
      </c>
      <c r="K80" s="2" t="inlineStr">
        <is>
          <t>BAAI/bge-small-en-v1.5 (evaluator aligner; semantic retrieval not invoked)</t>
        </is>
      </c>
      <c r="L80" s="2" t="inlineStr">
        <is>
          <t>SUCCESS</t>
        </is>
      </c>
      <c r="M80" s="2" t="inlineStr"/>
      <c r="N80" s="2" t="inlineStr">
        <is>
          <t>Expected CFR section(s) 740.19: none in evidence; none cited in answer. Evidence (4): FDA Guidance: Submission of Plans for Cigarette Packages and Cigarette Advertisements (Revised) (final, 2024-0 [full_text_or]; FDA Guidance: Labeling OTC Human Drug Products -- Questions and Answers (final, 2009-01-05, Docket FDA-2004-D- [full_text_or]; 21 CFR 352.52(e)(1)(i) [full_text_or]; 21 CFR 352.52(e)(1)(ii) [full_text_or]. Query type GENERAL_REGULATORY_SEARCH; semantic fallback not invoked. Coverage evidence_complete=True.</t>
        </is>
      </c>
      <c r="O80" s="2" t="n">
        <v>79</v>
      </c>
      <c r="P80" s="2" t="inlineStr">
        <is>
          <t>740</t>
        </is>
      </c>
      <c r="Q80" s="2" t="inlineStr">
        <is>
          <t>Specific Requirement</t>
        </is>
      </c>
      <c r="R80" s="2" t="inlineStr">
        <is>
          <t>Intermediate</t>
        </is>
      </c>
      <c r="S80" s="2" t="inlineStr">
        <is>
          <t>21 CFR 740.19</t>
        </is>
      </c>
      <c r="T80" s="2" t="n">
        <v>0</v>
      </c>
      <c r="U80" s="2" t="n">
        <v>0</v>
      </c>
      <c r="V80" s="2" t="n">
        <v>0</v>
      </c>
      <c r="W80" s="2" t="n">
        <v>0</v>
      </c>
      <c r="X80" s="2" t="n">
        <v>1</v>
      </c>
      <c r="Y80" s="2" t="inlineStr">
        <is>
          <t>Withheld by validator (no answer shown)</t>
        </is>
      </c>
      <c r="Z80" s="2" t="inlineStr">
        <is>
          <t>initial unsupported [unsupported_claim] -&gt; final unsupported; repair applied; fallback unvalidated_answer_withheld</t>
        </is>
      </c>
      <c r="AA80" s="2" t="inlineStr"/>
      <c r="AB80" s="2" t="inlineStr">
        <is>
          <t>FAIL</t>
        </is>
      </c>
      <c r="AC80" s="2" t="n">
        <v>0</v>
      </c>
      <c r="AD80" s="2" t="inlineStr">
        <is>
          <t>Incorrect refusal: the generated answer failed validation and was suppressed, so the question went unanswered - the suppression was right, the outcome is still no answer</t>
        </is>
      </c>
      <c r="AE80" s="3" t="n">
        <v>15.326</v>
      </c>
      <c r="AF80" s="3" t="n">
        <v>0.717</v>
      </c>
      <c r="AG80" s="3" t="n">
        <v>14.601</v>
      </c>
      <c r="AH80" s="3" t="n">
        <v>0.001</v>
      </c>
      <c r="AI80" s="2" t="inlineStr"/>
    </row>
    <row r="81">
      <c r="A81" s="2" t="inlineStr">
        <is>
          <t>COS-FDCA201(i)-Q1</t>
        </is>
      </c>
      <c r="B81" s="2" t="inlineStr">
        <is>
          <t>We sell a scented body oil marketed 'to soften and beautify skin.' Is it a cosmetic under the FD&amp;C Act definition?</t>
        </is>
      </c>
      <c r="C81" s="2" t="inlineStr">
        <is>
          <t>FD&amp;C Act 201(i)(1): 'cosmetic' means articles intended to be rubbed, poured, sprinkled, or sprayed on, introduced into, or otherwise applied to the human body or any part thereof for cleansing, beautifying, promoting attractiveness, or altering the appearance. A body oil applied to beautify fits that intended use. The term excludes soap. No legal determination is given.</t>
        </is>
      </c>
      <c r="D81"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Lead in Cosmetic Lip Products and Externally Applied Cosmetics: Recommended Maximum Level (draft, 2016-12-22, Docket FDA-2014-D-2275), FDA Guidance: Guidance for Industry: Questions and Answers Regarding Food Facility Registration (Seventh Edition) (final, 2018-08-20, Docket FDA-2012-D-1002), 21 CFR 800.30(b).</t>
        </is>
      </c>
      <c r="E81" s="2" t="inlineStr">
        <is>
          <t>FAIL</t>
        </is>
      </c>
      <c r="F81" s="2" t="inlineStr">
        <is>
          <t>No answer delivered: draft withheld (unsupported claim). The key's source is FD&amp;C Act 201(i) (statute), which is not in the Regulus corpus (eCFR and FDA guidance only); the key's answer (an oil applied to beautify fits the 'cosmetic' definition; soap excluded) was not provided.</t>
        </is>
      </c>
      <c r="G81" s="3" t="n">
        <v>13.352</v>
      </c>
      <c r="H81" s="4" t="n">
        <v>1326</v>
      </c>
      <c r="I81" s="4" t="n">
        <v>117</v>
      </c>
      <c r="J81" s="2" t="inlineStr">
        <is>
          <t>Qwen/Qwen3-0.6B</t>
        </is>
      </c>
      <c r="K81" s="2" t="inlineStr">
        <is>
          <t>BAAI/bge-small-en-v1.5 (evaluator aligner; semantic retrieval not invoked)</t>
        </is>
      </c>
      <c r="L81" s="2" t="inlineStr">
        <is>
          <t>SUCCESS</t>
        </is>
      </c>
      <c r="M81" s="2" t="inlineStr"/>
      <c r="N81" s="2" t="inlineStr">
        <is>
          <t>Key cites FD&amp;C Act (statute) only; the Regulus corpus holds eCFR and FDA guidance, no statute text. Evidence (3): FDA Guidance: Draft Guidance for Industry: Lead in Cosmetic Lip Products and Externally Applied Cosmetics: Rec [full_text_or]; FDA Guidance: Guidance for Industry: Questions and Answers Regarding Food Facility Registration (Seventh Editi [full_text_or]; 21 CFR 800.30(b) [full_text_or]. Query type GENERAL_REGULATORY_SEARCH; semantic fallback not invoked. Coverage evidence_complete=True.</t>
        </is>
      </c>
      <c r="O81" s="2" t="n">
        <v>80</v>
      </c>
      <c r="P81" s="2" t="inlineStr">
        <is>
          <t>FDCA</t>
        </is>
      </c>
      <c r="Q81" s="2" t="inlineStr">
        <is>
          <t>Applicability</t>
        </is>
      </c>
      <c r="R81" s="2" t="inlineStr">
        <is>
          <t>Basic</t>
        </is>
      </c>
      <c r="S81" s="2" t="inlineStr">
        <is>
          <t>FD&amp;C Act 201(i)(1) [21 U.S.C. 321(i)]</t>
        </is>
      </c>
      <c r="T81" s="2" t="n">
        <v>0</v>
      </c>
      <c r="U81" s="2" t="n">
        <v>0</v>
      </c>
      <c r="V81" s="2" t="n">
        <v>0</v>
      </c>
      <c r="W81" s="2" t="n">
        <v>0</v>
      </c>
      <c r="X81" s="2" t="n">
        <v>1</v>
      </c>
      <c r="Y81" s="2" t="inlineStr">
        <is>
          <t>Withheld by validator (no answer shown)</t>
        </is>
      </c>
      <c r="Z81" s="2" t="inlineStr">
        <is>
          <t>initial unsupported [unsupported_claim] -&gt; final valid; repair applied; fallback unvalidated_answer_withheld</t>
        </is>
      </c>
      <c r="AA81" s="2" t="inlineStr"/>
      <c r="AB81" s="2" t="inlineStr">
        <is>
          <t>FAIL</t>
        </is>
      </c>
      <c r="AC81" s="2" t="n">
        <v>0</v>
      </c>
      <c r="AD81" s="2" t="inlineStr">
        <is>
          <t>Incorrect refusal: the generated answer failed validation and was suppressed, so the question went unanswered - the suppression was right, the outcome is still no answer</t>
        </is>
      </c>
      <c r="AE81" s="3" t="n">
        <v>13.347</v>
      </c>
      <c r="AF81" s="3" t="n">
        <v>1.687</v>
      </c>
      <c r="AG81" s="3" t="n">
        <v>11.653</v>
      </c>
      <c r="AH81" s="3" t="n">
        <v>0.002</v>
      </c>
      <c r="AI81" s="2" t="inlineStr"/>
    </row>
    <row r="82">
      <c r="A82" s="2" t="inlineStr">
        <is>
          <t>COS-FDCA601-Q3</t>
        </is>
      </c>
      <c r="B82" s="2" t="inlineStr">
        <is>
          <t>We're a small nail polish brand using a contract manufacturer. We haven't compiled safety data. Which newer adulteration provisions should we worry about?</t>
        </is>
      </c>
      <c r="C82" s="2" t="inlineStr">
        <is>
          <t>601(e): adulterated if it is not a hair dye and is, bears, or contains a color additive unsafe within the meaning of 21 U.S.C. 379e(a). 601(f): if manufactured or processed under conditions not meeting the GMP requirements of 606. 601(g): if the cosmetic product, including each ingredient, does not have adequate substantiation for safety as defined in 608(c).</t>
        </is>
      </c>
      <c r="D82" s="2" t="inlineStr">
        <is>
          <t>The available regulatory sources do not provide enough information to answer this question. [1]</t>
        </is>
      </c>
      <c r="E82" s="2" t="inlineStr">
        <is>
          <t>FAIL</t>
        </is>
      </c>
      <c r="F82" s="2" t="inlineStr">
        <is>
          <t>Declined ('sources do not provide enough information'), citing a biologics contract-manufacturing guidance. The key's source is FD&amp;C Act 601(e)-(g) (statute), which is not in the Regulus corpus; the key's answer (unsafe color additive, GMP under 606, safety substantiation under 608) was not provided.</t>
        </is>
      </c>
      <c r="G82" s="3" t="n">
        <v>5.943</v>
      </c>
      <c r="H82" s="4" t="n">
        <v>1377</v>
      </c>
      <c r="I82" s="4" t="n">
        <v>18</v>
      </c>
      <c r="J82" s="2" t="inlineStr">
        <is>
          <t>Qwen/Qwen3-0.6B</t>
        </is>
      </c>
      <c r="K82" s="2" t="inlineStr">
        <is>
          <t>BAAI/bge-small-en-v1.5 (evaluator aligner; semantic retrieval not invoked)</t>
        </is>
      </c>
      <c r="L82" s="2" t="inlineStr">
        <is>
          <t>SUCCESS</t>
        </is>
      </c>
      <c r="M82" s="2" t="inlineStr"/>
      <c r="N82" s="2" t="inlineStr">
        <is>
          <t>Key cites FD&amp;C Act (statute) only; the Regulus corpus holds eCFR and FDA guidance, no statute text. Evidence (5): FDA Guidance: Cooperative Manufacturing Arrangements for Licensed Biologics: Guidance for Industry (final, 200 [full_text_or]; FDA Guidance: Cooperative Manufacturing Arrangements for Licensed Biologics: Guidance for Industry (final, 200 [full_text_or]; 21 CFR 720.4(c)(8)(v) [full_text_or]; 21 CFR 720.4(c)(8)(vi) [full_text_or]; 21 CFR 73.2995(c) [full_text_or]. Query type GENERAL_REGULATORY_SEARCH; semantic fallback not invoked. Coverage evidence_complete=True.</t>
        </is>
      </c>
      <c r="O82" s="2" t="n">
        <v>81</v>
      </c>
      <c r="P82" s="2" t="inlineStr">
        <is>
          <t>FDCA</t>
        </is>
      </c>
      <c r="Q82" s="2" t="inlineStr">
        <is>
          <t>Applicability</t>
        </is>
      </c>
      <c r="R82" s="2" t="inlineStr">
        <is>
          <t>Advanced</t>
        </is>
      </c>
      <c r="S82" s="2" t="inlineStr">
        <is>
          <t>FD&amp;C Act 601(e), (f), (g) [21 U.S.C. 361(e)-(g)]</t>
        </is>
      </c>
      <c r="T82" s="2" t="n">
        <v>0</v>
      </c>
      <c r="U82" s="2" t="n">
        <v>0</v>
      </c>
      <c r="V82" s="2" t="n">
        <v>0</v>
      </c>
      <c r="W82" s="2" t="n">
        <v>0</v>
      </c>
      <c r="X82" s="2" t="n">
        <v>1</v>
      </c>
      <c r="Y82" s="2" t="inlineStr">
        <is>
          <t>Generated answer</t>
        </is>
      </c>
      <c r="Z82" s="2" t="inlineStr">
        <is>
          <t>initial valid -&gt; final valid</t>
        </is>
      </c>
      <c r="AA82" s="2" t="inlineStr">
        <is>
          <t>[1] = FDA Guidance: Cooperative Manufacturing Arrangements for Licensed Biologics: Guidance for Industry (final, 2008-11-28, Docket FDA-1999-D-0128)</t>
        </is>
      </c>
      <c r="AB82" s="2" t="inlineStr">
        <is>
          <t>NOT EVALUATED</t>
        </is>
      </c>
      <c r="AC82" s="2" t="n"/>
      <c r="AD82" s="2" t="inlineStr">
        <is>
          <t>Cannot be verified: the answer declines, and neither the pipeline state nor the retrieved evidence establishes whether the question could have been answered</t>
        </is>
      </c>
      <c r="AE82" s="3" t="n">
        <v>5.938</v>
      </c>
      <c r="AF82" s="3" t="n">
        <v>2.349</v>
      </c>
      <c r="AG82" s="3" t="n">
        <v>3.581</v>
      </c>
      <c r="AH82" s="3" t="n">
        <v>0.002</v>
      </c>
      <c r="AI82" s="2" t="inlineStr"/>
    </row>
    <row r="83">
      <c r="A83" s="2" t="inlineStr">
        <is>
          <t>COS-FDCA603-Q1</t>
        </is>
      </c>
      <c r="B83" s="2" t="inlineStr">
        <is>
          <t>We ship bulk lotion in drums to another company's plant, where it is filled and labeled. Do the drums need full consumer labeling?</t>
        </is>
      </c>
      <c r="C83" s="2" t="inlineStr">
        <is>
          <t>603 directs the Secretary to promulgate regulations exempting from any labeling requirement of the Act cosmetics that, per the practice of the trade, are to be processed, labeled, or repacked in substantial quantities at establishments other than where originally processed or packed, on condition that they are not adulterated or misbranded upon removal from that establishment. The exemption's terms are in those regulations.</t>
        </is>
      </c>
      <c r="D83" s="2" t="inlineStr">
        <is>
          <t>The available regulatory sources do not provide enough information to answer this question. [1]  
The requested provision requires that drums need full consumer labeling. [1]  
The requested provision requires that the drums need full consumer labeling. [1]</t>
        </is>
      </c>
      <c r="E83" s="2" t="inlineStr">
        <is>
          <t>FAIL</t>
        </is>
      </c>
      <c r="F83" s="2" t="inlineStr">
        <is>
          <t>Wrong. Opens by declining, then twice asserts 'the requested provision requires that drums need full consumer labeling', citing a plant-based food labeling guidance. Key: FD&amp;C Act 603 directs exemption regulations for cosmetics shipped in bulk for processing/labeling elsewhere (implemented in 701.9). The statute is not in the corpus. Fabricated = 1 (bank Instructions rule 3, invented requirement): Invented requirement: 'drums need full consumer labeling'.</t>
        </is>
      </c>
      <c r="G83" s="3" t="n">
        <v>9.628</v>
      </c>
      <c r="H83" s="4" t="n">
        <v>1399</v>
      </c>
      <c r="I83" s="4" t="n">
        <v>65</v>
      </c>
      <c r="J83" s="2" t="inlineStr">
        <is>
          <t>Qwen/Qwen3-0.6B</t>
        </is>
      </c>
      <c r="K83" s="2" t="inlineStr">
        <is>
          <t>BAAI/bge-small-en-v1.5 (evaluator aligner; semantic retrieval not invoked)</t>
        </is>
      </c>
      <c r="L83" s="2" t="inlineStr">
        <is>
          <t>SUCCESS</t>
        </is>
      </c>
      <c r="M83" s="2" t="inlineStr"/>
      <c r="N83" s="2" t="inlineStr">
        <is>
          <t>Key cites FD&amp;C Act (statute) only; the Regulus corpus holds eCFR and FDA guidance, no statute text. Evidence (4): FDA Guidance: Draft Guidance for Industry: Labeling of Plant-Based Alternatives to Animal-Derived Foods (draft [full_text_or]; FDA Guidance: Draft Guidance for Industry: Labeling of Plant-Based Milk Alternatives and Voluntary Nutrient St [full_text_or]; 21 CFR 507.25(b)(1)(i) [full_text_or]; 21 CFR 101.9(j)(9) [full_text_or]. Query type GENERAL_REGULATORY_SEARCH; semantic fallback not invoked. Coverage evidence_complete=True.</t>
        </is>
      </c>
      <c r="O83" s="2" t="n">
        <v>82</v>
      </c>
      <c r="P83" s="2" t="inlineStr">
        <is>
          <t>FDCA</t>
        </is>
      </c>
      <c r="Q83" s="2" t="inlineStr">
        <is>
          <t>Exemption</t>
        </is>
      </c>
      <c r="R83" s="2" t="inlineStr">
        <is>
          <t>Intermediate</t>
        </is>
      </c>
      <c r="S83" s="2" t="inlineStr">
        <is>
          <t>FD&amp;C Act 603 [21 U.S.C. 363]</t>
        </is>
      </c>
      <c r="T83" s="2" t="n">
        <v>0</v>
      </c>
      <c r="U83" s="2" t="n">
        <v>1</v>
      </c>
      <c r="V83" s="2" t="n">
        <v>0</v>
      </c>
      <c r="W83" s="2" t="n">
        <v>0</v>
      </c>
      <c r="X83" s="2" t="n">
        <v>1</v>
      </c>
      <c r="Y83" s="2" t="inlineStr">
        <is>
          <t>Generated answer</t>
        </is>
      </c>
      <c r="Z83" s="2" t="inlineStr">
        <is>
          <t>initial valid [repeated_statement] -&gt; final valid</t>
        </is>
      </c>
      <c r="AA83" s="2" t="inlineStr">
        <is>
          <t>[1] = FDA Guidance: Draft Guidance for Industry: Labeling of Plant-Based Alternatives to Animal-Derived Foods (draft, 2025-01-06, Docket FDA-2022-D-1102)</t>
        </is>
      </c>
      <c r="AB83" s="2" t="inlineStr">
        <is>
          <t>NOT EVALUATED</t>
        </is>
      </c>
      <c r="AC83" s="2" t="n"/>
      <c r="AD83" s="2" t="inlineStr">
        <is>
          <t>Cannot be verified: 2 statement(s) address the question but none could be verified against the retrieved evidence</t>
        </is>
      </c>
      <c r="AE83" s="3" t="n">
        <v>9.602</v>
      </c>
      <c r="AF83" s="3" t="n">
        <v>1.111</v>
      </c>
      <c r="AG83" s="3" t="n">
        <v>8.488</v>
      </c>
      <c r="AH83" s="3" t="n">
        <v>0.023</v>
      </c>
      <c r="AI83" s="2" t="inlineStr"/>
    </row>
    <row r="84">
      <c r="A84" s="2" t="inlineStr">
        <is>
          <t>COS-FDCA605-Q1</t>
        </is>
      </c>
      <c r="B84" s="2" t="inlineStr">
        <is>
          <t>We're the brand owner. A U.S. consumer reported an eye infection after using our eye cream. What must we submit to FDA, and by when?</t>
        </is>
      </c>
      <c r="C84" s="2" t="inlineStr">
        <is>
          <t>An infection is a listed serious outcome in 604(5)(A). 605(a): the responsible person shall submit any report received of a serious adverse event associated with use in the United States of a product it manufactured, packed, or distributed. 605(b)(1): submit the report with a copy of the label on or within the retail packaging no later than 15 business days after receipt.</t>
        </is>
      </c>
      <c r="D84" s="2" t="inlineStr">
        <is>
          <t>The brand owner must submit a new medical information report to the FDA, which can be done electronically via the FDA Safety Reporting Portal or via Form FDA 3500A. This report is required to be submitted within 60 days of the U.S. approval of the application. If the report is not submitted, the brand owner may be required to revoke the exemption from reporting. Additionally, the brand owner must submit an annual report to the FDA, which includes two copies of the report and a completed Form FDA 2252, along with all required information during the annual reporting interval. The report must be submitted within 60 days of the U.S.</t>
        </is>
      </c>
      <c r="E84" s="2" t="inlineStr">
        <is>
          <t>FAIL</t>
        </is>
      </c>
      <c r="F84" s="2" t="inlineStr">
        <is>
          <t>Wrong. Describes drug postmarketing reporting (Form FDA 3500A, 60 days after approval, annual report with Form 2252) instead of MoCRA: the responsible person must report a serious adverse event (infection is a serious outcome) with the label within 15 business days (FD&amp;C Act 605(a), (b)(1)). The statute is not in the corpus; the answer is also cut off. Fabricated = 1 (bank Instructions rule 3, invented requirement): Drug postmarketing reporting (60 days, Form 3500A, Form 2252) stated as the cosmetic brand owner's obligation.</t>
        </is>
      </c>
      <c r="G84" s="3" t="n">
        <v>16.941</v>
      </c>
      <c r="H84" s="4" t="n">
        <v>1405</v>
      </c>
      <c r="I84" s="4" t="n">
        <v>147</v>
      </c>
      <c r="J84" s="2" t="inlineStr">
        <is>
          <t>Qwen/Qwen3-0.6B</t>
        </is>
      </c>
      <c r="K84" s="2" t="inlineStr">
        <is>
          <t>BAAI/bge-small-en-v1.5 (evaluator aligner; semantic retrieval not invoked)</t>
        </is>
      </c>
      <c r="L84" s="2" t="inlineStr">
        <is>
          <t>SUCCESS</t>
        </is>
      </c>
      <c r="M84" s="2" t="inlineStr"/>
      <c r="N84" s="2" t="inlineStr">
        <is>
          <t>Key cites FD&amp;C Act (statute) only; the Regulus corpus holds eCFR and FDA guidance, no statute text. Evidence (3): FDA Guidance: Guidance for Industry: Questions and Answers Regarding Adverse Event Reporting and Recordkeeping [full_text_or]; FDA Guidance: Medical Device Reporting for Manufacturers : Guidance for Industry and Food and Drug Administrat [full_text_or]; 21 CFR 314.81(b)(2) [full_text_or]. Query type GENERAL_REGULATORY_SEARCH; semantic fallback not invoked. Coverage evidence_complete=True.</t>
        </is>
      </c>
      <c r="O84" s="2" t="n">
        <v>83</v>
      </c>
      <c r="P84" s="2" t="inlineStr">
        <is>
          <t>FDCA</t>
        </is>
      </c>
      <c r="Q84" s="2" t="inlineStr">
        <is>
          <t>How to Comply</t>
        </is>
      </c>
      <c r="R84" s="2" t="inlineStr">
        <is>
          <t>Intermediate</t>
        </is>
      </c>
      <c r="S84" s="2" t="inlineStr">
        <is>
          <t>FD&amp;C Act 605(a), (b)(1) [21 U.S.C. 364a(a), (b)(1)]; 604(5)</t>
        </is>
      </c>
      <c r="T84" s="2" t="n">
        <v>0</v>
      </c>
      <c r="U84" s="2" t="n">
        <v>1</v>
      </c>
      <c r="V84" s="2" t="n">
        <v>0</v>
      </c>
      <c r="W84" s="2" t="n">
        <v>0</v>
      </c>
      <c r="X84" s="2" t="n">
        <v>1</v>
      </c>
      <c r="Y84" s="2" t="inlineStr">
        <is>
          <t>Generated answer</t>
        </is>
      </c>
      <c r="Z84" s="2" t="inlineStr">
        <is>
          <t>initial valid -&gt; final valid</t>
        </is>
      </c>
      <c r="AA84" s="2" t="inlineStr"/>
      <c r="AB84" s="2" t="inlineStr">
        <is>
          <t>FAIL</t>
        </is>
      </c>
      <c r="AC84" s="2" t="n">
        <v>0</v>
      </c>
      <c r="AD84" s="2" t="inlineStr">
        <is>
          <t>Partially correct: 3 statement(s) could not be verified; 5 statement(s) only partly address the question - e.g. the regulation it corresponds to (FDA Guidance: Guidance for Industry: Questions and Answers Regarding Adverse Event Reporting and Recordkeeping for Dietary Supplements as Required by the Dietary Supplement and Nonprescription Drug Consumer Protection Act (final, 2013-09-01, Docket FDA-…</t>
        </is>
      </c>
      <c r="AE84" s="3" t="n">
        <v>16.665</v>
      </c>
      <c r="AF84" s="3" t="n">
        <v>2.29</v>
      </c>
      <c r="AG84" s="3" t="n">
        <v>14.366</v>
      </c>
      <c r="AH84" s="3" t="n">
        <v>0.272</v>
      </c>
      <c r="AI84" s="2" t="inlineStr"/>
    </row>
    <row r="85">
      <c r="A85" s="2" t="inlineStr">
        <is>
          <t>COS-FDCA605-Q3</t>
        </is>
      </c>
      <c r="B85" s="2" t="inlineStr">
        <is>
          <t>FDA wrote asking which fragrance ingredients in our perfume may have caused a serious adverse event. Must we answer, how fast, and will it be public?</t>
        </is>
      </c>
      <c r="C85" s="2" t="inlineStr">
        <is>
          <t>605(f): if the Secretary has reasonable grounds to believe a fragrance or flavor ingredient or combination caused or contributed to a reportable serious adverse event, the Secretary may request in writing a list of such ingredients or categories of ingredients in the specific fragrances or flavors. The responsible person shall ensure it is submitted within 30 days of the request. Under FOIA it shall be withheld under 5 U.S.C. 552(b)(3).</t>
        </is>
      </c>
      <c r="D85" s="2"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Adverse Event Reporting and Recordkeeping for Dietary Supplements as Required by the Dietary Supplement and Nonprescription Drug Consumer Protection Act (final, 2013-09-01, Docket FDA-2007-D-0372), 21 CFR 208.20(b)(2), 21 CFR 208.20(b)(7)(i).</t>
        </is>
      </c>
      <c r="E85" s="2" t="inlineStr">
        <is>
          <t>FAIL</t>
        </is>
      </c>
      <c r="F85" s="2" t="inlineStr">
        <is>
          <t>No answer delivered: draft degenerate and withheld. The key's source FD&amp;C Act 605(f) (fragrance ingredient list within 30 days of a written request; withheld from FOIA) is not in the corpus.</t>
        </is>
      </c>
      <c r="G85" s="3" t="n">
        <v>13.633</v>
      </c>
      <c r="H85" s="4" t="n">
        <v>1347</v>
      </c>
      <c r="I85" s="4" t="n">
        <v>128</v>
      </c>
      <c r="J85" s="2" t="inlineStr">
        <is>
          <t>Qwen/Qwen3-0.6B</t>
        </is>
      </c>
      <c r="K85" s="2" t="inlineStr">
        <is>
          <t>BAAI/bge-small-en-v1.5 (evaluator aligner; semantic retrieval not invoked)</t>
        </is>
      </c>
      <c r="L85" s="2" t="inlineStr">
        <is>
          <t>SUCCESS</t>
        </is>
      </c>
      <c r="M85" s="2" t="inlineStr"/>
      <c r="N85" s="2" t="inlineStr">
        <is>
          <t>Key cites FD&amp;C Act (statute) only; the Regulus corpus holds eCFR and FDA guidance, no statute text. Evidence (4): FDA Guidance: Guidance for Industry: Questions and Answers Regarding Adverse Event Reporting and Recordkeeping [full_text_or]; FDA Guidance: Guidance for Industry: Questions and Answers Regarding Adverse Event Reporting and Recordkeeping [full_text_or]; 21 CFR 208.20(b)(2) [full_text_or]; 21 CFR 208.20(b)(7)(i) [full_text_or]. Query type GENERAL_REGULATORY_SEARCH; semantic fallback not invoked. Coverage evidence_complete=True.</t>
        </is>
      </c>
      <c r="O85" s="2" t="n">
        <v>84</v>
      </c>
      <c r="P85" s="2" t="inlineStr">
        <is>
          <t>FDCA</t>
        </is>
      </c>
      <c r="Q85" s="2" t="inlineStr">
        <is>
          <t>Specific Requirement</t>
        </is>
      </c>
      <c r="R85" s="2" t="inlineStr">
        <is>
          <t>Advanced</t>
        </is>
      </c>
      <c r="S85" s="2" t="inlineStr">
        <is>
          <t>FD&amp;C Act 605(f) [21 U.S.C. 364a(f)]</t>
        </is>
      </c>
      <c r="T85" s="2" t="n">
        <v>0</v>
      </c>
      <c r="U85" s="2" t="n">
        <v>0</v>
      </c>
      <c r="V85" s="2" t="n">
        <v>0</v>
      </c>
      <c r="W85" s="2" t="n">
        <v>0</v>
      </c>
      <c r="X85" s="2" t="n">
        <v>1</v>
      </c>
      <c r="Y85" s="2" t="inlineStr">
        <is>
          <t>Withheld by validator (no answer shown)</t>
        </is>
      </c>
      <c r="Z85" s="2" t="inlineStr">
        <is>
          <t>initial degenerate [degenerate_output, truncated, repeated_statement] -&gt; final unsupported; repair applied; fallback unvalidated_answer_withheld; stop repetition; generation hit token allowance</t>
        </is>
      </c>
      <c r="AA85" s="2" t="inlineStr"/>
      <c r="AB85" s="2" t="inlineStr">
        <is>
          <t>FAIL</t>
        </is>
      </c>
      <c r="AC85" s="2" t="n">
        <v>0</v>
      </c>
      <c r="AD85" s="2" t="inlineStr">
        <is>
          <t>Incorrect refusal: the generated answer failed validation and was suppressed, so the question went unanswered - the suppression was right, the outcome is still no answer</t>
        </is>
      </c>
      <c r="AE85" s="3" t="n">
        <v>13.627</v>
      </c>
      <c r="AF85" s="3" t="n">
        <v>1.111</v>
      </c>
      <c r="AG85" s="3" t="n">
        <v>12.509</v>
      </c>
      <c r="AH85" s="3" t="n">
        <v>0.001</v>
      </c>
      <c r="AI85" s="2" t="inlineStr"/>
    </row>
    <row r="86">
      <c r="A86" s="2" t="inlineStr">
        <is>
          <t>COS-FDCA606-Q2</t>
        </is>
      </c>
      <c r="B86" s="2" t="inlineStr">
        <is>
          <t>We're a 4-person handmade cosmetics company. How must FDA's GMP rules account for businesses our size?</t>
        </is>
      </c>
      <c r="C86" s="2" t="inlineStr">
        <is>
          <t>606(b): the Secretary shall take into account the size and scope of the businesses and risks to public health; provide sufficient flexibility to be practicable for all sizes and types of facilities; and include simplified GMP requirements for smaller businesses, as appropriate, to avoid undue economic hardship, which may include longer compliance times. Separately, 612 may exempt qualifying small businesses from 606.</t>
        </is>
      </c>
      <c r="D86" s="2" t="inlineStr">
        <is>
          <t>The FDA's GMP rules require that businesses of a certain size must account for their employees in the context of the "small business" definition. Specifically, the rules state that a business is defined as consisting of the legal entity that the facility is part of, along with any "affiliates" and "subsidiaries" determined from the perspective of the relevant facility. This means that the size of a business is determined based on the size of the legal entity and its affiliates, not just the number of employees. For example, a facility that is part of a subsidiary will have its employees counted, while a facility that is an affiliate will have its employees counted as well. The rules also specify that employees of a company that is not a subsidiary or affiliate are not counted. The sources that support this are [1][2].</t>
        </is>
      </c>
      <c r="E86" s="2" t="inlineStr">
        <is>
          <t>FAIL</t>
        </is>
      </c>
      <c r="F86" s="2" t="inlineStr">
        <is>
          <t>Wrong. Explains how employees are counted for the food 'small business' definition (Parts 117/507 guidance) and presents it as FDA's cosmetic GMP rule. Key: FD&amp;C Act 606(b) requires the GMP rules to consider business size, give flexibility and simplified requirements for smaller businesses; 612 may exempt small businesses. The statute is not in the corpus.</t>
        </is>
      </c>
      <c r="G86" s="3" t="n">
        <v>20.191</v>
      </c>
      <c r="H86" s="4" t="n">
        <v>1379</v>
      </c>
      <c r="I86" s="4" t="n">
        <v>195</v>
      </c>
      <c r="J86" s="2" t="inlineStr">
        <is>
          <t>Qwen/Qwen3-0.6B</t>
        </is>
      </c>
      <c r="K86" s="2" t="inlineStr">
        <is>
          <t>BAAI/bge-small-en-v1.5 (evaluator aligner; semantic retrieval not invoked)</t>
        </is>
      </c>
      <c r="L86" s="2" t="inlineStr">
        <is>
          <t>SUCCESS</t>
        </is>
      </c>
      <c r="M86" s="2" t="inlineStr"/>
      <c r="N86" s="2" t="inlineStr">
        <is>
          <t>Key cites FD&amp;C Act (statute) only; the Regulus corpus holds eCFR and FDA guidance, no statute text. Evidence (4): FDA Guidance: Guidance for Industry: Determining the Number of Employees for Purposes of the “Small Business”  [full_text_or]; FDA Guidance: Guidance for Industry: Determining the Number of Employees for Purposes of the “Small Business”  [full_text_or]; 21 CFR 1107.12(2)(ii)(2)(2)(2)(4) [full_text_or]; 21 CFR 1107.12(2)(ii) [full_text_or]. Query type GENERAL_REGULATORY_SEARCH; semantic fallback not invoked. Coverage evidence_complete=True.</t>
        </is>
      </c>
      <c r="O86" s="2" t="n">
        <v>85</v>
      </c>
      <c r="P86" s="2" t="inlineStr">
        <is>
          <t>FDCA</t>
        </is>
      </c>
      <c r="Q86" s="2" t="inlineStr">
        <is>
          <t>Exemption</t>
        </is>
      </c>
      <c r="R86" s="2" t="inlineStr">
        <is>
          <t>Intermediate</t>
        </is>
      </c>
      <c r="S86" s="2" t="inlineStr">
        <is>
          <t>FD&amp;C Act 606(b) [21 U.S.C. 364b(b)]</t>
        </is>
      </c>
      <c r="T86" s="2" t="n">
        <v>0</v>
      </c>
      <c r="U86" s="2" t="n">
        <v>0</v>
      </c>
      <c r="V86" s="2" t="n">
        <v>0</v>
      </c>
      <c r="W86" s="2" t="n">
        <v>0</v>
      </c>
      <c r="X86" s="2" t="n">
        <v>1</v>
      </c>
      <c r="Y86" s="2" t="inlineStr">
        <is>
          <t>Generated answer</t>
        </is>
      </c>
      <c r="Z86" s="2" t="inlineStr">
        <is>
          <t>initial evidence_mismatched [invented_condition] -&gt; final valid; repair applied</t>
        </is>
      </c>
      <c r="AA86" s="2" t="inlineStr">
        <is>
          <t>[1] = FDA Guidance: Guidance for Industry: Determining the Number of Employees for Purposes of the “Small Business” Definition in Parts 117 and 507 (final, 2019-06-19, Docket FDA-2018-D-0671); [2] = FDA Guidance: Guidance for Industry: Determining the Number of Employees for Purposes of the “Small Business” Definition in Parts 117 and 507 (final, 2019-06-19, Docket FDA-2018-D-0671)</t>
        </is>
      </c>
      <c r="AB86" s="2" t="inlineStr">
        <is>
          <t>NOT EVALUATED</t>
        </is>
      </c>
      <c r="AC86" s="2" t="n"/>
      <c r="AD86" s="2" t="inlineStr">
        <is>
          <t>Cannot be verified: 5 statement(s) address the question but none could be verified against the retrieved evidence</t>
        </is>
      </c>
      <c r="AE86" s="3" t="n">
        <v>20.008</v>
      </c>
      <c r="AF86" s="3" t="n">
        <v>0.8139999999999999</v>
      </c>
      <c r="AG86" s="3" t="n">
        <v>19.184</v>
      </c>
      <c r="AH86" s="3" t="n">
        <v>0.18</v>
      </c>
      <c r="AI86" s="2" t="inlineStr"/>
    </row>
    <row r="87">
      <c r="A87" s="2" t="inlineStr">
        <is>
          <t>COS-FDCA607-Q2</t>
        </is>
      </c>
      <c r="B87" s="2" t="inlineStr">
        <is>
          <t>We're the brand owner launching 12 shades of one lipstick formula that differ only in colors. What listing do we file, and when?</t>
        </is>
      </c>
      <c r="C87" s="2" t="inlineStr">
        <is>
          <t>607(c)(1): the responsible person submits, or ensures submission of, a listing for each cosmetic product. 607(c)(4)(B): one listing may cover multiple products with identical formulations or formulations differing only in colors, fragrances or flavors, or quantity of contents. 607(c)(2): new products within 120 days of marketing in interstate commerce; listings updated annually.</t>
        </is>
      </c>
      <c r="D87" s="2" t="inlineStr">
        <is>
          <t>The generated answer could not be validated against the retrieved regulatory evidence, so it is not shown. The retrieved sources were not verified to answer the question as asked, so their text is not quoted as an answer. Sources consulted: FDA Guidance: CVM GFI #223 Small Entity Compliance Guide Declaring Color Additives in Animal Foods (final, 2013-09-27, Docket FDA-2013-D-1088), FDA Guidance: Replacing Color Additives in Approved or Marketed Drug Products: Draft Guidance for Industry (draft, 2025-05-29, Docket FDA-2025-D-0507), 21 CFR 720.4(e), 21 CFR 720.4(c)(7)(v).</t>
        </is>
      </c>
      <c r="E87" s="2" t="inlineStr">
        <is>
          <t>FAIL</t>
        </is>
      </c>
      <c r="F87" s="2" t="inlineStr">
        <is>
          <t>No answer delivered: draft withheld (unsupported figure). The key's source FD&amp;C Act 607(c) (one listing may cover shades differing only in colors; new products within 120 days; annual updates) is not in the corpus; 720.4(e) (voluntary program) was retrieved.</t>
        </is>
      </c>
      <c r="G87" s="3" t="n">
        <v>18.988</v>
      </c>
      <c r="H87" s="4" t="n">
        <v>1402</v>
      </c>
      <c r="I87" s="4" t="n">
        <v>191</v>
      </c>
      <c r="J87" s="2" t="inlineStr">
        <is>
          <t>Qwen/Qwen3-0.6B</t>
        </is>
      </c>
      <c r="K87" s="2" t="inlineStr">
        <is>
          <t>BAAI/bge-small-en-v1.5 (evaluator aligner; semantic retrieval not invoked)</t>
        </is>
      </c>
      <c r="L87" s="2" t="inlineStr">
        <is>
          <t>SUCCESS</t>
        </is>
      </c>
      <c r="M87" s="2" t="inlineStr"/>
      <c r="N87" s="2" t="inlineStr">
        <is>
          <t>Key cites FD&amp;C Act (statute) only; the Regulus corpus holds eCFR and FDA guidance, no statute text. Evidence (4): FDA Guidance: CVM GFI #223 Small Entity Compliance Guide Declaring Color Additives in Animal Foods (final, 201 [full_text_or]; FDA Guidance: Replacing Color Additives in Approved or Marketed Drug Products: Draft Guidance for Industry (dr [full_text_or]; 21 CFR 720.4(e) [full_text_or]; 21 CFR 720.4(c)(7)(v) [full_text_or]. Query type GENERAL_REGULATORY_SEARCH; semantic fallback not invoked. Coverage evidence_complete=True.</t>
        </is>
      </c>
      <c r="O87" s="2" t="n">
        <v>86</v>
      </c>
      <c r="P87" s="2" t="inlineStr">
        <is>
          <t>FDCA</t>
        </is>
      </c>
      <c r="Q87" s="2" t="inlineStr">
        <is>
          <t>How to Comply</t>
        </is>
      </c>
      <c r="R87" s="2" t="inlineStr">
        <is>
          <t>Intermediate</t>
        </is>
      </c>
      <c r="S87" s="2" t="inlineStr">
        <is>
          <t>FD&amp;C Act 607(c)(1), (c)(2), (c)(4)(B) [21 U.S.C. 364c(c)]</t>
        </is>
      </c>
      <c r="T87" s="2" t="n">
        <v>0</v>
      </c>
      <c r="U87" s="2" t="n">
        <v>0</v>
      </c>
      <c r="V87" s="2" t="n">
        <v>0</v>
      </c>
      <c r="W87" s="2" t="n">
        <v>0</v>
      </c>
      <c r="X87" s="2" t="n">
        <v>1</v>
      </c>
      <c r="Y87" s="2" t="inlineStr">
        <is>
          <t>Withheld by validator (no answer shown)</t>
        </is>
      </c>
      <c r="Z87" s="2" t="inlineStr">
        <is>
          <t>initial unsupported [unsupported_figure, qualifier_dropped] -&gt; final valid; repair applied; fallback unvalidated_answer_withheld</t>
        </is>
      </c>
      <c r="AA87" s="2" t="inlineStr"/>
      <c r="AB87" s="2" t="inlineStr">
        <is>
          <t>FAIL</t>
        </is>
      </c>
      <c r="AC87" s="2" t="n">
        <v>0</v>
      </c>
      <c r="AD87" s="2" t="inlineStr">
        <is>
          <t>Incorrect refusal: the generated answer failed validation and was suppressed, so the question went unanswered - the suppression was right, the outcome is still no answer</t>
        </is>
      </c>
      <c r="AE87" s="3" t="n">
        <v>18.983</v>
      </c>
      <c r="AF87" s="3" t="n">
        <v>1.114</v>
      </c>
      <c r="AG87" s="3" t="n">
        <v>17.863</v>
      </c>
      <c r="AH87" s="3" t="n">
        <v>0.001</v>
      </c>
      <c r="AI87" s="2" t="inlineStr"/>
    </row>
    <row r="88">
      <c r="A88" s="2" t="inlineStr">
        <is>
          <t>COS-FDCA607-Q3</t>
        </is>
      </c>
      <c r="B88" s="2" t="inlineStr">
        <is>
          <t>FDA notified us it intends to suspend our facility registration. On what grounds can it, and what chance do we get to respond?</t>
        </is>
      </c>
      <c r="C88" s="2" t="inlineStr">
        <is>
          <t>607(f)(1): if a product made or processed there has a reasonable probability of causing serious adverse health consequences or death, and the Secretary reasonably believes other products may be similarly affected by a failure that cannot be isolated or is sufficiently pervasive. (f)(2): notice stating the basis; the responsible person has 5 business days to provide a plan. (f)(3): informal hearing not later than 5 business days after the order.</t>
        </is>
      </c>
      <c r="D88" s="2"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Food Facility Registration (Seventh Edition) (final, 2018-08-20, Docket FDA-2012-D-1002), FDA Guidance: Small Entity Compliance Guide: Registration of Food Facilities (final, 2018-05-29, Docket FDA-2012-D-1003), 21 CFR 1.285(k).</t>
        </is>
      </c>
      <c r="E88" s="2" t="inlineStr">
        <is>
          <t>FAIL</t>
        </is>
      </c>
      <c r="F88" s="2" t="inlineStr">
        <is>
          <t>No answer delivered: draft withheld. The key's source FD&amp;C Act 607(f) (suspension grounds, 5-business-day plan, informal hearing) is not in the corpus; food facility registration guidance and 1.285(k) were retrieved instead.</t>
        </is>
      </c>
      <c r="G88" s="3" t="n">
        <v>15.459</v>
      </c>
      <c r="H88" s="4" t="n">
        <v>1391</v>
      </c>
      <c r="I88" s="4" t="n">
        <v>151</v>
      </c>
      <c r="J88" s="2" t="inlineStr">
        <is>
          <t>Qwen/Qwen3-0.6B</t>
        </is>
      </c>
      <c r="K88" s="2" t="inlineStr">
        <is>
          <t>BAAI/bge-small-en-v1.5 (evaluator aligner; semantic retrieval not invoked)</t>
        </is>
      </c>
      <c r="L88" s="2" t="inlineStr">
        <is>
          <t>SUCCESS</t>
        </is>
      </c>
      <c r="M88" s="2" t="inlineStr"/>
      <c r="N88" s="2" t="inlineStr">
        <is>
          <t>Key cites FD&amp;C Act (statute) only; the Regulus corpus holds eCFR and FDA guidance, no statute text. Evidence (3): FDA Guidance: Guidance for Industry: Questions and Answers Regarding Food Facility Registration (Seventh Editi [full_text_or]; FDA Guidance: Small Entity Compliance Guide: Registration of Food Facilities (final, 2018-05-29, Docket FDA-20 [full_text_or]; 21 CFR 1.285(k) [full_text_or]. Query type GENERAL_REGULATORY_SEARCH; semantic fallback not invoked. Coverage evidence_complete=True.</t>
        </is>
      </c>
      <c r="O88" s="2" t="n">
        <v>87</v>
      </c>
      <c r="P88" s="2" t="inlineStr">
        <is>
          <t>FDCA</t>
        </is>
      </c>
      <c r="Q88" s="2" t="inlineStr">
        <is>
          <t>Specific Requirement</t>
        </is>
      </c>
      <c r="R88" s="2" t="inlineStr">
        <is>
          <t>Advanced</t>
        </is>
      </c>
      <c r="S88" s="2" t="inlineStr">
        <is>
          <t>FD&amp;C Act 607(f)(1)-(3) [21 U.S.C. 364c(f)]</t>
        </is>
      </c>
      <c r="T88" s="2" t="n">
        <v>0</v>
      </c>
      <c r="U88" s="2" t="n">
        <v>0</v>
      </c>
      <c r="V88" s="2" t="n">
        <v>0</v>
      </c>
      <c r="W88" s="2" t="n">
        <v>0</v>
      </c>
      <c r="X88" s="2" t="n">
        <v>1</v>
      </c>
      <c r="Y88" s="2" t="inlineStr">
        <is>
          <t>Withheld by validator (no answer shown)</t>
        </is>
      </c>
      <c r="Z88" s="2" t="inlineStr">
        <is>
          <t>initial unsupported [unsupported_claim, invented_condition] -&gt; final unsupported; repair applied; fallback unvalidated_answer_withheld</t>
        </is>
      </c>
      <c r="AA88" s="2" t="inlineStr"/>
      <c r="AB88" s="2" t="inlineStr">
        <is>
          <t>FAIL</t>
        </is>
      </c>
      <c r="AC88" s="2" t="n">
        <v>0</v>
      </c>
      <c r="AD88" s="2" t="inlineStr">
        <is>
          <t>Incorrect refusal: the generated answer failed validation and was suppressed, so the question went unanswered - the suppression was right, the outcome is still no answer</t>
        </is>
      </c>
      <c r="AE88" s="3" t="n">
        <v>15.454</v>
      </c>
      <c r="AF88" s="3" t="n">
        <v>1.546</v>
      </c>
      <c r="AG88" s="3" t="n">
        <v>13.901</v>
      </c>
      <c r="AH88" s="3" t="n">
        <v>0.001</v>
      </c>
      <c r="AI88" s="2" t="inlineStr"/>
    </row>
    <row r="89">
      <c r="A89" s="2" t="inlineStr">
        <is>
          <t>COS-FDCA609-Q1</t>
        </is>
      </c>
      <c r="B89" s="2" t="inlineStr">
        <is>
          <t>Our cosmetic labels list only our Shanghai office address. Does that meet the FD&amp;C Act contact-information requirement?</t>
        </is>
      </c>
      <c r="C89" s="2" t="inlineStr">
        <is>
          <t>609(a): each cosmetic product label shall bear a domestic address, domestic phone number, or electronic contact information, which may include a website, through which the responsible person can receive adverse event reports. A foreign address alone is not a domestic address; electronic contact information or a domestic address or phone would be needed. The statutory note sets effect 2 years after December 29, 2022.</t>
        </is>
      </c>
      <c r="D89" s="2" t="inlineStr">
        <is>
          <t>The generated answer could not be validated against the retrieved regulatory evidence, so it is not shown. The retrieved sources were not verified to answer the question as asked, so their text is not quoted as an answer. Sources consulted: FDA Guidance: Formal Meetings Between the Food and Drug Administration and Sponsors or Requestors of Over-the-Counter Monograph Drugs (final, 2026-07-14, Docket FDA-2022-D-0080), 21 CFR 329.100(b)(5)(i).</t>
        </is>
      </c>
      <c r="E89" s="2" t="inlineStr">
        <is>
          <t>FAIL</t>
        </is>
      </c>
      <c r="F89" s="2" t="inlineStr">
        <is>
          <t>No answer delivered: draft degenerate and withheld. The key's source FD&amp;C Act 609(a) (label must bear a domestic address, domestic phone or electronic contact; a foreign address alone does not satisfy it) is not in the corpus.</t>
        </is>
      </c>
      <c r="G89" s="3" t="n">
        <v>12.068</v>
      </c>
      <c r="H89" s="4" t="n">
        <v>1312</v>
      </c>
      <c r="I89" s="4" t="n">
        <v>112</v>
      </c>
      <c r="J89" s="2" t="inlineStr">
        <is>
          <t>Qwen/Qwen3-0.6B</t>
        </is>
      </c>
      <c r="K89" s="2" t="inlineStr">
        <is>
          <t>BAAI/bge-small-en-v1.5 (evaluator aligner; semantic retrieval not invoked)</t>
        </is>
      </c>
      <c r="L89" s="2" t="inlineStr">
        <is>
          <t>SUCCESS</t>
        </is>
      </c>
      <c r="M89" s="2" t="inlineStr"/>
      <c r="N89" s="2" t="inlineStr">
        <is>
          <t>Key cites FD&amp;C Act (statute) only; the Regulus corpus holds eCFR and FDA guidance, no statute text. Evidence (3): FDA Guidance: Formal Meetings Between the Food and Drug Administration and Sponsors or Requestors of Over-the- [full_text_or]; FDA Guidance: Formal Meetings Between the Food and Drug Administration and Sponsors or Requestors of Over-the- [full_text_or]; 21 CFR 329.100(b)(5)(i) [full_text_or]. Query type GENERAL_REGULATORY_SEARCH; semantic fallback not invoked. Coverage evidence_complete=True.</t>
        </is>
      </c>
      <c r="O89" s="2" t="n">
        <v>88</v>
      </c>
      <c r="P89" s="2" t="inlineStr">
        <is>
          <t>FDCA</t>
        </is>
      </c>
      <c r="Q89" s="2" t="inlineStr">
        <is>
          <t>Specific Requirement</t>
        </is>
      </c>
      <c r="R89" s="2" t="inlineStr">
        <is>
          <t>Basic</t>
        </is>
      </c>
      <c r="S89" s="2" t="inlineStr">
        <is>
          <t>FD&amp;C Act 609(a) [21 U.S.C. 364e(a)]</t>
        </is>
      </c>
      <c r="T89" s="2" t="n">
        <v>0</v>
      </c>
      <c r="U89" s="2" t="n">
        <v>0</v>
      </c>
      <c r="V89" s="2" t="n">
        <v>0</v>
      </c>
      <c r="W89" s="2" t="n">
        <v>0</v>
      </c>
      <c r="X89" s="2" t="n">
        <v>1</v>
      </c>
      <c r="Y89" s="2" t="inlineStr">
        <is>
          <t>Withheld by validator (no answer shown)</t>
        </is>
      </c>
      <c r="Z89" s="2" t="inlineStr">
        <is>
          <t>initial degenerate [degenerate_output, truncated, repeated_statement] -&gt; final unsupported; repair applied; fallback unvalidated_answer_withheld; stop repetition; generation hit token allowance</t>
        </is>
      </c>
      <c r="AA89" s="2" t="inlineStr"/>
      <c r="AB89" s="2" t="inlineStr">
        <is>
          <t>FAIL</t>
        </is>
      </c>
      <c r="AC89" s="2" t="n">
        <v>0</v>
      </c>
      <c r="AD89" s="2" t="inlineStr">
        <is>
          <t>Incorrect refusal: the generated answer failed validation and was suppressed, so the question went unanswered - the suppression was right, the outcome is still no answer</t>
        </is>
      </c>
      <c r="AE89" s="3" t="n">
        <v>12.065</v>
      </c>
      <c r="AF89" s="3" t="n">
        <v>1.841</v>
      </c>
      <c r="AG89" s="3" t="n">
        <v>10.217</v>
      </c>
      <c r="AH89" s="3" t="n">
        <v>0.001</v>
      </c>
      <c r="AI89" s="2" t="inlineStr"/>
    </row>
    <row r="90">
      <c r="A90" s="2" t="inlineStr">
        <is>
          <t>COS-FDCA609-Q2</t>
        </is>
      </c>
      <c r="B90" s="2" t="inlineStr">
        <is>
          <t>We sell a fragranced hair relaxer to salons only. What does 609 add to our labeling?</t>
        </is>
      </c>
      <c r="C90" s="2" t="inlineStr">
        <is>
          <t>609(c)(2): a cosmetic product introduced into interstate commerce and intended for use only by a professional must bear a label with a clear and prominent statement that it shall be administered or used only by licensed professionals, and must conform to labeling requirements under the Act and 15 U.S.C. 1453(a). 609(b): the label must identify each fragrance allergen included, as determined by the Secretary by regulation.</t>
        </is>
      </c>
      <c r="D90" s="2" t="inlineStr">
        <is>
          <t>The available regulatory sources do not provide enough information to answer this question.</t>
        </is>
      </c>
      <c r="E90" s="2" t="inlineStr">
        <is>
          <t>FAIL</t>
        </is>
      </c>
      <c r="F90" s="2" t="inlineStr">
        <is>
          <t>Declined ('sources do not provide enough information'). The key's source FD&amp;C Act 609(b)-(c) (professional-use statement; fragrance allergen labeling by regulation) is not in the corpus.</t>
        </is>
      </c>
      <c r="G90" s="3" t="n">
        <v>3.843</v>
      </c>
      <c r="H90" s="4" t="n">
        <v>1364</v>
      </c>
      <c r="I90" s="4" t="n">
        <v>15</v>
      </c>
      <c r="J90" s="2" t="inlineStr">
        <is>
          <t>Qwen/Qwen3-0.6B</t>
        </is>
      </c>
      <c r="K90" s="2" t="inlineStr">
        <is>
          <t>BAAI/bge-small-en-v1.5 (evaluator aligner; semantic retrieval not invoked)</t>
        </is>
      </c>
      <c r="L90" s="2" t="inlineStr">
        <is>
          <t>SUCCESS</t>
        </is>
      </c>
      <c r="M90" s="2" t="inlineStr"/>
      <c r="N90" s="2" t="inlineStr">
        <is>
          <t>Key cites FD&amp;C Act (statute) only; the Regulus corpus holds eCFR and FDA guidance, no statute text. Evidence (4): FDA Guidance: Labeling for Human Prescription Drug and Biological Products - Implementing the PLR Content and  [full_text_or]; FDA Guidance: Good ANDA Submission Practices Guidance for Industry (final, 2022-01-26, Docket FDA-2017-D-6854) [full_text_or]; 21 CFR 720.4(e) [full_text_or]; 21 CFR 720.4(c)(4) [full_text_or]. Query type GENERAL_REGULATORY_SEARCH; semantic fallback not invoked. Coverage evidence_complete=True.</t>
        </is>
      </c>
      <c r="O90" s="2" t="n">
        <v>89</v>
      </c>
      <c r="P90" s="2" t="inlineStr">
        <is>
          <t>FDCA</t>
        </is>
      </c>
      <c r="Q90" s="2" t="inlineStr">
        <is>
          <t>Specific Requirement</t>
        </is>
      </c>
      <c r="R90" s="2" t="inlineStr">
        <is>
          <t>Intermediate</t>
        </is>
      </c>
      <c r="S90" s="2" t="inlineStr">
        <is>
          <t>FD&amp;C Act 609(b), (c) [21 U.S.C. 364e(b), (c)]</t>
        </is>
      </c>
      <c r="T90" s="2" t="n">
        <v>0</v>
      </c>
      <c r="U90" s="2" t="n">
        <v>0</v>
      </c>
      <c r="V90" s="2" t="n">
        <v>0</v>
      </c>
      <c r="W90" s="2" t="n">
        <v>0</v>
      </c>
      <c r="X90" s="2" t="n">
        <v>1</v>
      </c>
      <c r="Y90" s="2" t="inlineStr">
        <is>
          <t>Generated answer</t>
        </is>
      </c>
      <c r="Z90" s="2" t="inlineStr">
        <is>
          <t>initial valid -&gt; final valid</t>
        </is>
      </c>
      <c r="AA90" s="2" t="inlineStr"/>
      <c r="AB90" s="2" t="inlineStr">
        <is>
          <t>NOT EVALUATED</t>
        </is>
      </c>
      <c r="AC90" s="2" t="n"/>
      <c r="AD90" s="2" t="inlineStr">
        <is>
          <t>Cannot be verified: the answer declines, and neither the pipeline state nor the retrieved evidence establishes whether the question could have been answered</t>
        </is>
      </c>
      <c r="AE90" s="3" t="n">
        <v>3.84</v>
      </c>
      <c r="AF90" s="3" t="n">
        <v>0.849</v>
      </c>
      <c r="AG90" s="3" t="n">
        <v>2.986</v>
      </c>
      <c r="AH90" s="3" t="n">
        <v>0.002</v>
      </c>
      <c r="AI90" s="2" t="inlineStr"/>
    </row>
    <row r="91">
      <c r="A91" s="2" t="inlineStr">
        <is>
          <t>COS-FDCA613-Q2</t>
        </is>
      </c>
      <c r="B91" s="2" t="inlineStr">
        <is>
          <t>Our facility makes OTC antiperspirants and also non-drug body sprays. Do registration and GMP provisions apply to us?</t>
        </is>
      </c>
      <c r="C91" s="2" t="inlineStr">
        <is>
          <t>613(b): a facility described in 613(a) that also manufactures or processes cosmetic products not subject to subchapter V is not exempt from 605, 606, 607, 608, 609(a), 610, and 611 with respect to those cosmetic products. So for the non-drug body sprays, those provisions apply; for the OTC antiperspirants, 613(a) exempts them.</t>
        </is>
      </c>
      <c r="D91" s="2"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Food Facility Registration (Seventh Edition) (final, 2018-08-20, Docket FDA-2012-D-1002), FDA Guidance: Small Entity Compliance Guide: Registration of Food Facilities (final, 2018-05-29, Docket FDA-2012-D-1003), 21 CFR 890.5525(b)(1), 21 CFR 330.12(b)(1)(v).</t>
        </is>
      </c>
      <c r="E91" s="2" t="inlineStr">
        <is>
          <t>FAIL</t>
        </is>
      </c>
      <c r="F91" s="2" t="inlineStr">
        <is>
          <t>No answer delivered: draft withheld. The key's source FD&amp;C Act 613(b) (facility making both OTC drugs and cosmetics is not exempt from 605-611 for the cosmetic-only products) is not in the corpus.</t>
        </is>
      </c>
      <c r="G91" s="3" t="n">
        <v>17.972</v>
      </c>
      <c r="H91" s="4" t="n">
        <v>1430</v>
      </c>
      <c r="I91" s="4" t="n">
        <v>193</v>
      </c>
      <c r="J91" s="2" t="inlineStr">
        <is>
          <t>Qwen/Qwen3-0.6B</t>
        </is>
      </c>
      <c r="K91" s="2" t="inlineStr">
        <is>
          <t>BAAI/bge-small-en-v1.5 (evaluator aligner; semantic retrieval not invoked)</t>
        </is>
      </c>
      <c r="L91" s="2" t="inlineStr">
        <is>
          <t>SUCCESS</t>
        </is>
      </c>
      <c r="M91" s="2" t="inlineStr"/>
      <c r="N91" s="2" t="inlineStr">
        <is>
          <t>Key cites FD&amp;C Act (statute) only; the Regulus corpus holds eCFR and FDA guidance, no statute text. Evidence (4): FDA Guidance: Guidance for Industry: Questions and Answers Regarding Food Facility Registration (Seventh Editi [full_text_or]; FDA Guidance: Small Entity Compliance Guide: Registration of Food Facilities (final, 2018-05-29, Docket FDA-20 [full_text_or]; 21 CFR 890.5525(b)(1) [full_text_or]; 21 CFR 330.12(b)(1)(v) [full_text_or]. Query type GENERAL_REGULATORY_SEARCH; semantic fallback not invoked. Coverage evidence_complete=True.</t>
        </is>
      </c>
      <c r="O91" s="2" t="n">
        <v>90</v>
      </c>
      <c r="P91" s="2" t="inlineStr">
        <is>
          <t>FDCA</t>
        </is>
      </c>
      <c r="Q91" s="2" t="inlineStr">
        <is>
          <t>Applicability</t>
        </is>
      </c>
      <c r="R91" s="2" t="inlineStr">
        <is>
          <t>Intermediate</t>
        </is>
      </c>
      <c r="S91" s="2" t="inlineStr">
        <is>
          <t>FD&amp;C Act 613(b) [21 U.S.C. 364i(b)]</t>
        </is>
      </c>
      <c r="T91" s="2" t="n">
        <v>0</v>
      </c>
      <c r="U91" s="2" t="n">
        <v>0</v>
      </c>
      <c r="V91" s="2" t="n">
        <v>0</v>
      </c>
      <c r="W91" s="2" t="n">
        <v>0</v>
      </c>
      <c r="X91" s="2" t="n">
        <v>1</v>
      </c>
      <c r="Y91" s="2" t="inlineStr">
        <is>
          <t>Withheld by validator (no answer shown)</t>
        </is>
      </c>
      <c r="Z91" s="2" t="inlineStr">
        <is>
          <t>initial unsupported [invented_condition, unsupported_claim] -&gt; final unsupported; repair applied; fallback unvalidated_answer_withheld</t>
        </is>
      </c>
      <c r="AA91" s="2" t="inlineStr"/>
      <c r="AB91" s="2" t="inlineStr">
        <is>
          <t>FAIL</t>
        </is>
      </c>
      <c r="AC91" s="2" t="n">
        <v>0</v>
      </c>
      <c r="AD91" s="2" t="inlineStr">
        <is>
          <t>Incorrect refusal: the generated answer failed validation and was suppressed, so the question went unanswered - the suppression was right, the outcome is still no answer</t>
        </is>
      </c>
      <c r="AE91" s="3" t="n">
        <v>17.967</v>
      </c>
      <c r="AF91" s="3" t="n">
        <v>1.151</v>
      </c>
      <c r="AG91" s="3" t="n">
        <v>16.807</v>
      </c>
      <c r="AH91" s="3" t="n">
        <v>0.001</v>
      </c>
      <c r="AI91" s="2" t="inlineStr"/>
    </row>
    <row r="92">
      <c r="A92" s="2" t="inlineStr">
        <is>
          <t>COS-FDCA614-Q2</t>
        </is>
      </c>
      <c r="B92" s="2" t="inlineStr">
        <is>
          <t>Our state is proposing to ban an ingredient in cosmetics. Does the federal preemption section stop that?</t>
        </is>
      </c>
      <c r="C92" s="2" t="inlineStr">
        <is>
          <t>No. 614(b): the 2022 amendments do not preempt any State statute, public initiative, referendum, regulation, or other State action except as provided in (a), and do not preempt a State law that prohibits or limits the use or amount of an ingredient in a cosmetic product. No opinion on the specific proposal is given.</t>
        </is>
      </c>
      <c r="D92"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Lead in Cosmetic Lip Products and Externally Applied Cosmetics: Recommended Maximum Level (draft, 2016-12-22, Docket FDA-2014-D-2275), FDA Guidance: Menstrual Products - Performance Testing and Labeling Recommendations: Draft Guidance for Industry and Food and Drug Administration Staff (draft, 2025-10-28, Docket FDA-2025-D-5107), 21 CFR 100.1(f)(5)(i), 21 CFR 808.25(d).</t>
        </is>
      </c>
      <c r="E92" s="2" t="inlineStr">
        <is>
          <t>FAIL</t>
        </is>
      </c>
      <c r="F92" s="2" t="inlineStr">
        <is>
          <t>No answer delivered: draft withheld. The key's source FD&amp;C Act 614(b) (no preemption of state laws limiting a cosmetic ingredient) is not in the corpus.</t>
        </is>
      </c>
      <c r="G92" s="3" t="n">
        <v>9.631</v>
      </c>
      <c r="H92" s="4" t="n">
        <v>1357</v>
      </c>
      <c r="I92" s="4" t="n">
        <v>93</v>
      </c>
      <c r="J92" s="2" t="inlineStr">
        <is>
          <t>Qwen/Qwen3-0.6B</t>
        </is>
      </c>
      <c r="K92" s="2" t="inlineStr">
        <is>
          <t>BAAI/bge-small-en-v1.5 (evaluator aligner; semantic retrieval not invoked)</t>
        </is>
      </c>
      <c r="L92" s="2" t="inlineStr">
        <is>
          <t>SUCCESS</t>
        </is>
      </c>
      <c r="M92" s="2" t="inlineStr"/>
      <c r="N92" s="2" t="inlineStr">
        <is>
          <t>Key cites FD&amp;C Act (statute) only; the Regulus corpus holds eCFR and FDA guidance, no statute text. Evidence (4): FDA Guidance: Draft Guidance for Industry: Lead in Cosmetic Lip Products and Externally Applied Cosmetics: Rec [full_text_or]; FDA Guidance: Menstrual Products - Performance Testing and Labeling Recommendations: Draft Guidance for Indust [full_text_or]; 21 CFR 100.1(f)(5)(i) [full_text_or]; 21 CFR 808.25(d) [full_text_or]. Query type GENERAL_REGULATORY_SEARCH; semantic fallback not invoked. Coverage evidence_complete=True.</t>
        </is>
      </c>
      <c r="O92" s="2" t="n">
        <v>91</v>
      </c>
      <c r="P92" s="2" t="inlineStr">
        <is>
          <t>FDCA</t>
        </is>
      </c>
      <c r="Q92" s="2" t="inlineStr">
        <is>
          <t>Exemption</t>
        </is>
      </c>
      <c r="R92" s="2" t="inlineStr">
        <is>
          <t>Intermediate</t>
        </is>
      </c>
      <c r="S92" s="2" t="inlineStr">
        <is>
          <t>FD&amp;C Act 614(b) [21 U.S.C. 364j(b)]</t>
        </is>
      </c>
      <c r="T92" s="2" t="n">
        <v>0</v>
      </c>
      <c r="U92" s="2" t="n">
        <v>0</v>
      </c>
      <c r="V92" s="2" t="n">
        <v>0</v>
      </c>
      <c r="W92" s="2" t="n">
        <v>0</v>
      </c>
      <c r="X92" s="2" t="n">
        <v>1</v>
      </c>
      <c r="Y92" s="2" t="inlineStr">
        <is>
          <t>Withheld by validator (no answer shown)</t>
        </is>
      </c>
      <c r="Z92" s="2" t="inlineStr">
        <is>
          <t>initial unsupported [condition_not_in_cited_source] -&gt; final valid; repair applied; fallback unvalidated_answer_withheld</t>
        </is>
      </c>
      <c r="AA92" s="2" t="inlineStr"/>
      <c r="AB92" s="2" t="inlineStr">
        <is>
          <t>FAIL</t>
        </is>
      </c>
      <c r="AC92" s="2" t="n">
        <v>0</v>
      </c>
      <c r="AD92" s="2" t="inlineStr">
        <is>
          <t>Incorrect refusal: the generated answer failed validation and was suppressed, so the question went unanswered - the suppression was right, the outcome is still no answer</t>
        </is>
      </c>
      <c r="AE92" s="3" t="n">
        <v>9.628</v>
      </c>
      <c r="AF92" s="3" t="n">
        <v>0.897</v>
      </c>
      <c r="AG92" s="3" t="n">
        <v>8.722</v>
      </c>
      <c r="AH92" s="3" t="n">
        <v>0.001</v>
      </c>
      <c r="AI92" s="2" t="inlineStr"/>
    </row>
    <row r="93">
      <c r="A93" s="2" t="inlineStr">
        <is>
          <t>UC-COS-006</t>
        </is>
      </c>
      <c r="B93" s="2" t="inlineStr">
        <is>
          <t>We make both a cosmetic face cream and an SPF 30 moisturizer on the same kettle. Are equipment cleaning and calibration requirements the same for both products?</t>
        </is>
      </c>
      <c r="C93" s="2" t="inlineStr">
        <is>
          <t>No. The SPF moisturizer is also a drug, so Part 211 CGMP applies, including equipment cleaning (211.67) and calibration (211.68(a), 211.160(b)(4)); under 613(a) it is exempt from 605–608, 609(a), 610 and 611. 613(b): the facility's cosmetic-only products remain subject to those sections. The cosmetic-only cream has no codified cleaning/calibration rule; 601(c) applies. Shared equipment must meet drug requirements for the drug product.</t>
        </is>
      </c>
      <c r="D93"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Control of Listeria monocytogenes in Ready-To-Eat Foods (draft, 2017-01-17, Docket FDA-2008-D-0096), FDA Guidance: CVM GFI #253 Current Good Manufacturing Practice for Animal Cells, Tissues, and Cell- and Tissue-Based Products (final, 2022-10-20, Docket FDA-2021-D-0399), 21 CFR 201.327(i)(2)(i).</t>
        </is>
      </c>
      <c r="E93" s="2" t="inlineStr">
        <is>
          <t>FAIL</t>
        </is>
      </c>
      <c r="F93" s="2" t="inlineStr">
        <is>
          <t>No answer delivered: draft withheld. None of the key's CFR sources (700.3(b), 211.1(a), 211.67, 211.68(a), 211.160(b)(4)) were in the retrieved evidence, and FD&amp;C Act 613 is not in the corpus; the key's answer (SPF product is also a drug, so Part 211 cleaning/calibration applies) was not provided.</t>
        </is>
      </c>
      <c r="G93" s="3" t="n">
        <v>8.688000000000001</v>
      </c>
      <c r="H93" s="4" t="n">
        <v>1371</v>
      </c>
      <c r="I93" s="4" t="n">
        <v>78</v>
      </c>
      <c r="J93" s="2" t="inlineStr">
        <is>
          <t>Qwen/Qwen3-0.6B</t>
        </is>
      </c>
      <c r="K93" s="2" t="inlineStr">
        <is>
          <t>BAAI/bge-small-en-v1.5 (evaluator aligner; semantic retrieval not invoked)</t>
        </is>
      </c>
      <c r="L93" s="2" t="inlineStr">
        <is>
          <t>SUCCESS</t>
        </is>
      </c>
      <c r="M93" s="2" t="inlineStr"/>
      <c r="N93" s="2" t="inlineStr">
        <is>
          <t>Key cites FD&amp;C Act (statute) and CFR; statute text is not in the Regulus corpus. Expected CFR section(s) 211.1, 211.160, 211.67, 211.68, 700.3: none in evidence; none cited in answer. Evidence (4): FDA Guidance: Draft Guidance for Industry: Control of Listeria monocytogenes in Ready-To-Eat Foods (draft, 201 [full_text_or]; FDA Guidance: CVM GFI #253 Current Good Manufacturing Practice for Animal Cells, Tissues, and Cell- and Tissue [full_text_or]; 21 CFR 201.327(i)(2)(i) [full_text_or]; 21 CFR 201.327(i)(2)(i) [full_text_or]. Query type GENERAL_REGULATORY_SEARCH; semantic fallback not invoked. Coverage evidence_complete=True.</t>
        </is>
      </c>
      <c r="O93" s="2" t="n">
        <v>92</v>
      </c>
      <c r="P93" s="2" t="inlineStr">
        <is>
          <t>UC-COS (Part blank)</t>
        </is>
      </c>
      <c r="Q93" s="2" t="inlineStr">
        <is>
          <t>How to Comply</t>
        </is>
      </c>
      <c r="R93" s="2" t="inlineStr">
        <is>
          <t>Advanced</t>
        </is>
      </c>
      <c r="S93" s="2" t="inlineStr">
        <is>
          <t>FD&amp;C Act 613 (21 U.S.C. 364i)(a)–(b); 21 CFR 700.3(b); 21 CFR 211.1(a), 211.67, 211.68(a), 211.160(b)(4)</t>
        </is>
      </c>
      <c r="T93" s="2" t="n">
        <v>0</v>
      </c>
      <c r="U93" s="2" t="n">
        <v>0</v>
      </c>
      <c r="V93" s="2" t="n">
        <v>0</v>
      </c>
      <c r="W93" s="2" t="n">
        <v>0</v>
      </c>
      <c r="X93" s="2" t="n">
        <v>1</v>
      </c>
      <c r="Y93" s="2" t="inlineStr">
        <is>
          <t>Withheld by validator (no answer shown)</t>
        </is>
      </c>
      <c r="Z93" s="2" t="inlineStr">
        <is>
          <t>initial unsupported [unsupported_figure, unsupported_claim] -&gt; final unsupported; repair applied; fallback unvalidated_answer_withheld</t>
        </is>
      </c>
      <c r="AA93" s="2" t="inlineStr"/>
      <c r="AB93" s="2" t="inlineStr">
        <is>
          <t>FAIL</t>
        </is>
      </c>
      <c r="AC93" s="2" t="n">
        <v>0</v>
      </c>
      <c r="AD93" s="2" t="inlineStr">
        <is>
          <t>Incorrect refusal: the generated answer failed validation and was suppressed, so the question went unanswered - the suppression was right, the outcome is still no answer</t>
        </is>
      </c>
      <c r="AE93" s="3" t="n">
        <v>8.685</v>
      </c>
      <c r="AF93" s="3" t="n">
        <v>0.892</v>
      </c>
      <c r="AG93" s="3" t="n">
        <v>7.788</v>
      </c>
      <c r="AH93" s="3" t="n">
        <v>0.001</v>
      </c>
      <c r="AI93" s="2" t="inlineStr"/>
    </row>
    <row r="94">
      <c r="A94" s="2" t="inlineStr">
        <is>
          <t>UC-COS-009</t>
        </is>
      </c>
      <c r="B94" s="2" t="inlineStr">
        <is>
          <t>FDA found mold and standing water in our contract manufacturer's fill room. What legal exposure does that create for us as the brand on the label, and could the facility's registration be suspended?</t>
        </is>
      </c>
      <c r="C94" s="2" t="inlineStr">
        <is>
          <t>Product held/packed under insanitary conditions may be adulterated under 601(c). Brand named on label is the responsible person. 607 suspension: FDA may suspend facility registration if a product has reasonable probability of causing serious adverse health consequences or death and other products may be affected; notice, 5-business-day response plan, informal hearing, corrective action plan. No legal opinion.</t>
        </is>
      </c>
      <c r="D94" s="2" t="inlineStr">
        <is>
          <t>The generated answer could not be validated against the retrieved regulatory evidence, so it is not shown. The retrieved sources were not verified to answer the question as asked, so their text is not quoted as an answer. Sources consulted: FDA Guidance: Cooperative Manufacturing Arrangements for Licensed Biologics: Guidance for Industry (final, 2008-11-28, Docket FDA-1999-D-0128), FDA Guidance: Contract Manufacturing Arrangements for Drugs: Quality Agreements Guidance for Industry: Guidance for Industry (final, 2016-11-23, Docket FDA-2013-D-0558), 21 CFR 800.20(b)(3)(ii)(B), 21 CFR 800.20(b)(2)(iv).</t>
        </is>
      </c>
      <c r="E94" s="2" t="inlineStr">
        <is>
          <t>FAIL</t>
        </is>
      </c>
      <c r="F94" s="2" t="inlineStr">
        <is>
          <t>No answer delivered: draft withheld. The key's sources (FD&amp;C Act 601(c), 604, 607) are statute and not in the corpus; the key's answer (possible adulteration for insanitary conditions, brand is the responsible person, 607 suspension procedure) was not provided.</t>
        </is>
      </c>
      <c r="G94" s="3" t="n">
        <v>7.884</v>
      </c>
      <c r="H94" s="4" t="n">
        <v>1359</v>
      </c>
      <c r="I94" s="4" t="n">
        <v>63</v>
      </c>
      <c r="J94" s="2" t="inlineStr">
        <is>
          <t>Qwen/Qwen3-0.6B</t>
        </is>
      </c>
      <c r="K94" s="2" t="inlineStr">
        <is>
          <t>BAAI/bge-small-en-v1.5 (evaluator aligner; semantic retrieval not invoked)</t>
        </is>
      </c>
      <c r="L94" s="2" t="inlineStr">
        <is>
          <t>SUCCESS</t>
        </is>
      </c>
      <c r="M94" s="2" t="inlineStr"/>
      <c r="N94" s="2" t="inlineStr">
        <is>
          <t>Key cites FD&amp;C Act (statute) only; the Regulus corpus holds eCFR and FDA guidance, no statute text. Evidence (4): FDA Guidance: Cooperative Manufacturing Arrangements for Licensed Biologics: Guidance for Industry (final, 200 [full_text_or]; FDA Guidance: Contract Manufacturing Arrangements for Drugs: Quality Agreements Guidance for Industry: Guidanc [full_text_or]; 21 CFR 800.20(b)(3)(ii)(B) [full_text_or]; 21 CFR 800.20(b)(2)(iv) [full_text_or]. Query type GENERAL_REGULATORY_SEARCH; semantic fallback not invoked. Coverage evidence_complete=True.</t>
        </is>
      </c>
      <c r="O94" s="2" t="n">
        <v>93</v>
      </c>
      <c r="P94" s="2" t="inlineStr">
        <is>
          <t>UC-COS (Part blank)</t>
        </is>
      </c>
      <c r="Q94" s="2" t="inlineStr">
        <is>
          <t>How to Comply</t>
        </is>
      </c>
      <c r="R94" s="2" t="inlineStr">
        <is>
          <t>Advanced</t>
        </is>
      </c>
      <c r="S94" s="2" t="inlineStr">
        <is>
          <t>FD&amp;C Act 601(c) (21 U.S.C. 361(c)); 607 (21 U.S.C. 364c) suspension; 604 responsible person (21 U.S.C. 364)</t>
        </is>
      </c>
      <c r="T94" s="2" t="n">
        <v>0</v>
      </c>
      <c r="U94" s="2" t="n">
        <v>0</v>
      </c>
      <c r="V94" s="2" t="n">
        <v>0</v>
      </c>
      <c r="W94" s="2" t="n">
        <v>0</v>
      </c>
      <c r="X94" s="2" t="n">
        <v>1</v>
      </c>
      <c r="Y94" s="2" t="inlineStr">
        <is>
          <t>Withheld by validator (no answer shown)</t>
        </is>
      </c>
      <c r="Z94" s="2" t="inlineStr">
        <is>
          <t>initial unsupported [unsupported_claim] -&gt; final unsupported; repair applied; fallback unvalidated_answer_withheld</t>
        </is>
      </c>
      <c r="AA94" s="2" t="inlineStr"/>
      <c r="AB94" s="2" t="inlineStr">
        <is>
          <t>FAIL</t>
        </is>
      </c>
      <c r="AC94" s="2" t="n">
        <v>0</v>
      </c>
      <c r="AD94" s="2" t="inlineStr">
        <is>
          <t>Incorrect refusal: the generated answer failed validation and was suppressed, so the question went unanswered - the suppression was right, the outcome is still no answer</t>
        </is>
      </c>
      <c r="AE94" s="3" t="n">
        <v>7.882</v>
      </c>
      <c r="AF94" s="3" t="n">
        <v>1.478</v>
      </c>
      <c r="AG94" s="3" t="n">
        <v>6.399</v>
      </c>
      <c r="AH94" s="3" t="n">
        <v>0.001</v>
      </c>
      <c r="AI94" s="2" t="inlineStr"/>
    </row>
    <row r="95">
      <c r="A95" s="2" t="inlineStr">
        <is>
          <t>UC-COS-011</t>
        </is>
      </c>
      <c r="B95" s="2" t="inlineStr">
        <is>
          <t>Our distributor's warehouse holds our shampoos. An inspector saw rodent droppings near pallets. Is the distributor covered by any FDA requirement even though it doesn't manufacture?</t>
        </is>
      </c>
      <c r="C95" s="2" t="inlineStr">
        <is>
          <t>601(c) covers cosmetics 'held' under insanitary conditions, so a holding/distribution site is covered by the adulteration provision. Facilities that only hold/distribute are excluded from the 604 'facility' definition, so no 607 registration. No codified pest-control program rule. Brand as responsible person still bears 605/608 duties.</t>
        </is>
      </c>
      <c r="D95" s="2" t="inlineStr">
        <is>
          <t>The available regulatory sources do not provide enough information to answer this question. [1]</t>
        </is>
      </c>
      <c r="E95" s="2" t="inlineStr">
        <is>
          <t>FAIL</t>
        </is>
      </c>
      <c r="F95" s="2" t="inlineStr">
        <is>
          <t>Declined, citing an infant-formula guidance. The key's sources (FD&amp;C Act 601(c) 'held', 604 facility exclusions, 607) are statute and not in the corpus.</t>
        </is>
      </c>
      <c r="G95" s="3" t="n">
        <v>3.918</v>
      </c>
      <c r="H95" s="4" t="n">
        <v>1333</v>
      </c>
      <c r="I95" s="4" t="n">
        <v>18</v>
      </c>
      <c r="J95" s="2" t="inlineStr">
        <is>
          <t>Qwen/Qwen3-0.6B</t>
        </is>
      </c>
      <c r="K95" s="2" t="inlineStr">
        <is>
          <t>BAAI/bge-small-en-v1.5 (evaluator aligner; semantic retrieval not invoked)</t>
        </is>
      </c>
      <c r="L95" s="2" t="inlineStr">
        <is>
          <t>SUCCESS</t>
        </is>
      </c>
      <c r="M95" s="2" t="inlineStr"/>
      <c r="N95" s="2" t="inlineStr">
        <is>
          <t>Key cites FD&amp;C Act (statute) only; the Regulus corpus holds eCFR and FDA guidance, no statute text. Evidence (3): FDA Guidance: Draft Guidance for Industry: Notifying FDA of a Permanent Discontinuance in the Manufacture or a [full_text_or]; FDA Guidance: Cooperative Manufacturing Arrangements for Licensed Biologics: Guidance for Industry (final, 200 [full_text_or]; 21 CFR 112.3(2)(2) [full_text_or]. Query type GENERAL_REGULATORY_SEARCH; semantic fallback not invoked. Coverage evidence_complete=True.</t>
        </is>
      </c>
      <c r="O95" s="2" t="n">
        <v>94</v>
      </c>
      <c r="P95" s="2" t="inlineStr">
        <is>
          <t>UC-COS (Part blank)</t>
        </is>
      </c>
      <c r="Q95" s="2" t="inlineStr">
        <is>
          <t>Specific Requirement</t>
        </is>
      </c>
      <c r="R95" s="2" t="inlineStr">
        <is>
          <t>Intermediate</t>
        </is>
      </c>
      <c r="S95" s="2" t="inlineStr">
        <is>
          <t>FD&amp;C Act 601(c) ("held"); 604 (21 U.S.C. 364) facility exclusions; 607</t>
        </is>
      </c>
      <c r="T95" s="2" t="n">
        <v>0</v>
      </c>
      <c r="U95" s="2" t="n">
        <v>0</v>
      </c>
      <c r="V95" s="2" t="n">
        <v>0</v>
      </c>
      <c r="W95" s="2" t="n">
        <v>0</v>
      </c>
      <c r="X95" s="2" t="n">
        <v>1</v>
      </c>
      <c r="Y95" s="2" t="inlineStr">
        <is>
          <t>Generated answer</t>
        </is>
      </c>
      <c r="Z95" s="2" t="inlineStr">
        <is>
          <t>initial valid -&gt; final valid</t>
        </is>
      </c>
      <c r="AA95" s="2" t="inlineStr">
        <is>
          <t>[1] = FDA Guidance: Draft Guidance for Industry: Notifying FDA of a Permanent Discontinuance in the Manufacture or an Interruption of the Manufacture of an Infant Formula (draft, 2024-12-02, Docket FDA-2024-D-1334)</t>
        </is>
      </c>
      <c r="AB95" s="2" t="inlineStr">
        <is>
          <t>NOT EVALUATED</t>
        </is>
      </c>
      <c r="AC95" s="2" t="n"/>
      <c r="AD95" s="2" t="inlineStr">
        <is>
          <t>Cannot be verified: the answer declines, and neither the pipeline state nor the retrieved evidence establishes whether the question could have been answered</t>
        </is>
      </c>
      <c r="AE95" s="3" t="n">
        <v>3.914</v>
      </c>
      <c r="AF95" s="3" t="n">
        <v>0.89</v>
      </c>
      <c r="AG95" s="3" t="n">
        <v>3.021</v>
      </c>
      <c r="AH95" s="3" t="n">
        <v>0.002</v>
      </c>
      <c r="AI95" s="2" t="inlineStr"/>
    </row>
    <row r="96">
      <c r="A96" s="2" t="inlineStr">
        <is>
          <t>UC-COS-013</t>
        </is>
      </c>
      <c r="B96" s="2" t="inlineStr">
        <is>
          <t>Our warehouse for lipsticks and creams isn't air-conditioned. Is there an FDA-required temperature or humidity range for storing cosmetics?</t>
        </is>
      </c>
      <c r="C96" s="2" t="inlineStr">
        <is>
          <t>Correct answer: no FDA-codified temperature/humidity range or monitoring requirement for cosmetic storage. What applies: 601(c) (held under insanitary conditions whereby it may have been rendered injurious to health); 608 safety substantiation supports safety under labeled/customary conditions of use. Storage limits should come from the brand's own stability/safety data. No compliance guarantee.</t>
        </is>
      </c>
      <c r="D96" s="2" t="inlineStr">
        <is>
          <t>The FDA requires that cosmetics be stored within a temperature and humidity range that protects their stability and safety. Specifically, the guidance from FDA Guidance: Draft Guidance for Industry: Lead in Cosmetic Lip Products and Externally Applied Cosmetics (Docket FDA-2014-D-2275) states that cosmetics should be stored in a temperature and humidity range that ensures their stability and safety. If applicable, storage instructions should include conditions such as temperature, light, and humidity. The requirement applies to devices or persons that store cosmetics and ensures that the products remain safe under their intended and customary conditions of use. [1]</t>
        </is>
      </c>
      <c r="E96" s="2" t="inlineStr">
        <is>
          <t>FAIL</t>
        </is>
      </c>
      <c r="F96" s="2" t="inlineStr">
        <is>
          <t>Wrong. States 'The FDA requires that cosmetics be stored within a temperature and humidity range', citing a draft lead-in-cosmetics guidance. The verified key says there is no FDA-codified temperature/humidity requirement for cosmetic storage; 601(c) and 608 are what apply. Fabricated = 1 (bank Instructions rule 3, invented requirement): Invented requirement on a 'regulation is silent' question: FDA-required storage temperature/humidity range.</t>
        </is>
      </c>
      <c r="G96" s="3" t="n">
        <v>12.825</v>
      </c>
      <c r="H96" s="4" t="n">
        <v>1322</v>
      </c>
      <c r="I96" s="4" t="n">
        <v>127</v>
      </c>
      <c r="J96" s="2" t="inlineStr">
        <is>
          <t>Qwen/Qwen3-0.6B</t>
        </is>
      </c>
      <c r="K96" s="2" t="inlineStr">
        <is>
          <t>BAAI/bge-small-en-v1.5 (evaluator aligner; semantic retrieval not invoked)</t>
        </is>
      </c>
      <c r="L96" s="2" t="inlineStr">
        <is>
          <t>SUCCESS</t>
        </is>
      </c>
      <c r="M96" s="2" t="inlineStr"/>
      <c r="N96" s="2" t="inlineStr">
        <is>
          <t>Key cites FD&amp;C Act (statute) only; the Regulus corpus holds eCFR and FDA guidance, no statute text. Evidence (3): FDA Guidance: Draft Guidance for Industry: Lead in Cosmetic Lip Products and Externally Applied Cosmetics: Rec [full_text_or]; FDA Guidance: Draft Guidance for Industry: Lead in Cosmetic Lip Products and Externally Applied Cosmetics: Rec [full_text_or]; 21 CFR 809.10(a)(5) [full_text_or]. Query type GENERAL_REGULATORY_SEARCH; semantic fallback not invoked. Coverage evidence_complete=True.</t>
        </is>
      </c>
      <c r="O96" s="2" t="n">
        <v>95</v>
      </c>
      <c r="P96" s="2" t="inlineStr">
        <is>
          <t>UC-COS (Part blank)</t>
        </is>
      </c>
      <c r="Q96" s="2" t="inlineStr">
        <is>
          <t>Specific Requirement</t>
        </is>
      </c>
      <c r="R96" s="2" t="inlineStr">
        <is>
          <t>Basic</t>
        </is>
      </c>
      <c r="S96" s="2" t="inlineStr">
        <is>
          <t>21 CFR Parts 700–740 (no storage provision); FD&amp;C Act 601(c); 608</t>
        </is>
      </c>
      <c r="T96" s="2" t="n">
        <v>0</v>
      </c>
      <c r="U96" s="2" t="n">
        <v>1</v>
      </c>
      <c r="V96" s="2" t="n">
        <v>0</v>
      </c>
      <c r="W96" s="2" t="n">
        <v>0</v>
      </c>
      <c r="X96" s="2" t="n">
        <v>1</v>
      </c>
      <c r="Y96" s="2" t="inlineStr">
        <is>
          <t>Generated answer</t>
        </is>
      </c>
      <c r="Z96" s="2" t="inlineStr">
        <is>
          <t>initial valid -&gt; final valid</t>
        </is>
      </c>
      <c r="AA96" s="2" t="inlineStr">
        <is>
          <t>[1] = FDA Guidance: Draft Guidance for Industry: Lead in Cosmetic Lip Products and Externally Applied Cosmetics: Recommended Maximum Level (draft, 2016-12-22, Docket FDA-2014-D-2275)</t>
        </is>
      </c>
      <c r="AB96" s="2" t="inlineStr">
        <is>
          <t>FAIL</t>
        </is>
      </c>
      <c r="AC96" s="2" t="n">
        <v>0</v>
      </c>
      <c r="AD96" s="2" t="inlineStr">
        <is>
          <t>Answers a different question: 3 of 4 statement(s) answer a different question and none of the rest could be verified</t>
        </is>
      </c>
      <c r="AE96" s="3" t="n">
        <v>12.718</v>
      </c>
      <c r="AF96" s="3" t="n">
        <v>1.558</v>
      </c>
      <c r="AG96" s="3" t="n">
        <v>11.151</v>
      </c>
      <c r="AH96" s="3" t="n">
        <v>0.106</v>
      </c>
      <c r="AI96" s="2" t="inlineStr"/>
    </row>
    <row r="97">
      <c r="A97" s="2" t="inlineStr">
        <is>
          <t>UC-COS-015</t>
        </is>
      </c>
      <c r="B97" s="2" t="inlineStr">
        <is>
          <t>A retailer wants proof our talc powder 'was stored per FDA regulations'. What records actually demonstrate compliance with federal storage requirements?</t>
        </is>
      </c>
      <c r="C97" s="2" t="inlineStr">
        <is>
          <t>Must state there are no codified cosmetic storage regulations, so no FDA-specified storage records exist. Relevant records: 608 safety substantiation records the responsible person must maintain (supporting reasonable certainty of safety); any stability data supporting labeled storage. Note FR 2025-21407 withdrew the talc asbestos testing proposed rule; no talc testing rule codified. No compliance guarantee.</t>
        </is>
      </c>
      <c r="D97" s="2" t="inlineStr">
        <is>
          <t>The generated answer could not be validated against the retrieved regulatory evidence, so it is not shown. The retrieved sources were not verified to answer the question as asked, so their text is not quoted as an answer. Sources consulted: FDA Guidance: Determination of the Period Covered by a No-Tobacco-Sale Order and Compliance With an Order: Guidance for Tobacco Retailers (final, 2023-03-17, Docket FDA-2015-D-0404), FDA Guidance: Draft Guidance for Industry: Standards for the Growing, Harvesting, Packing, and Holding of Produce for Human Consumption (draft, 2018-10-22, Docket FDA-2018-D-3631), 21 CFR 600.11(d).</t>
        </is>
      </c>
      <c r="E97" s="2" t="inlineStr">
        <is>
          <t>FAIL</t>
        </is>
      </c>
      <c r="F97" s="2" t="inlineStr">
        <is>
          <t>No answer delivered: draft withheld. The key's answer (no codified cosmetic storage regulations, so no FDA-specified storage records; 608 safety substantiation records are what exist) was not provided; the statute is not in the corpus.</t>
        </is>
      </c>
      <c r="G97" s="3" t="n">
        <v>12.664</v>
      </c>
      <c r="H97" s="4" t="n">
        <v>1375</v>
      </c>
      <c r="I97" s="4" t="n">
        <v>128</v>
      </c>
      <c r="J97" s="2" t="inlineStr">
        <is>
          <t>Qwen/Qwen3-0.6B</t>
        </is>
      </c>
      <c r="K97" s="2" t="inlineStr">
        <is>
          <t>BAAI/bge-small-en-v1.5 (evaluator aligner; semantic retrieval not invoked)</t>
        </is>
      </c>
      <c r="L97" s="2" t="inlineStr">
        <is>
          <t>SUCCESS</t>
        </is>
      </c>
      <c r="M97" s="2" t="inlineStr"/>
      <c r="N97" s="2" t="inlineStr">
        <is>
          <t>Key cites FD&amp;C Act (statute) only; the Regulus corpus holds eCFR and FDA guidance, no statute text. Evidence (3): FDA Guidance: Determination of the Period Covered by a No-Tobacco-Sale Order and Compliance With an Order: Gui [full_text_or]; FDA Guidance: Draft Guidance for Industry: Standards for the Growing, Harvesting, Packing, and Holding of Prod [full_text_or]; 21 CFR 600.11(d) [full_text_or]. Query type GENERAL_REGULATORY_SEARCH; semantic fallback not invoked. Coverage evidence_complete=True.</t>
        </is>
      </c>
      <c r="O97" s="2" t="n">
        <v>96</v>
      </c>
      <c r="P97" s="2" t="inlineStr">
        <is>
          <t>UC-COS (Part blank)</t>
        </is>
      </c>
      <c r="Q97" s="2" t="inlineStr">
        <is>
          <t>Records/Evidence</t>
        </is>
      </c>
      <c r="R97" s="2" t="inlineStr">
        <is>
          <t>Advanced</t>
        </is>
      </c>
      <c r="S97" s="2" t="inlineStr">
        <is>
          <t>21 CFR Parts 700–740; FD&amp;C Act 608 (21 U.S.C. 364d); 601(c)</t>
        </is>
      </c>
      <c r="T97" s="2" t="n">
        <v>0</v>
      </c>
      <c r="U97" s="2" t="n">
        <v>0</v>
      </c>
      <c r="V97" s="2" t="n">
        <v>0</v>
      </c>
      <c r="W97" s="2" t="n">
        <v>0</v>
      </c>
      <c r="X97" s="2" t="n">
        <v>1</v>
      </c>
      <c r="Y97" s="2" t="inlineStr">
        <is>
          <t>Withheld by validator (no answer shown)</t>
        </is>
      </c>
      <c r="Z97" s="2" t="inlineStr">
        <is>
          <t>initial unsupported [unsupported_claim, invented_condition] -&gt; final valid; repair applied; fallback unvalidated_answer_withheld</t>
        </is>
      </c>
      <c r="AA97" s="2" t="inlineStr"/>
      <c r="AB97" s="2" t="inlineStr">
        <is>
          <t>FAIL</t>
        </is>
      </c>
      <c r="AC97" s="2" t="n">
        <v>0</v>
      </c>
      <c r="AD97" s="2" t="inlineStr">
        <is>
          <t>Incorrect refusal: the generated answer failed validation and was suppressed, so the question went unanswered - the suppression was right, the outcome is still no answer</t>
        </is>
      </c>
      <c r="AE97" s="3" t="n">
        <v>12.661</v>
      </c>
      <c r="AF97" s="3" t="n">
        <v>1.275</v>
      </c>
      <c r="AG97" s="3" t="n">
        <v>11.382</v>
      </c>
      <c r="AH97" s="3" t="n">
        <v>0.001</v>
      </c>
      <c r="AI97" s="2" t="inlineStr"/>
    </row>
    <row r="98">
      <c r="A98" s="2" t="inlineStr">
        <is>
          <t>UC-COS-016</t>
        </is>
      </c>
      <c r="B98" s="2" t="inlineStr">
        <is>
          <t>A customer emailed that our face mask gave her a rash that went away in a day. Do we have to report it to FDA?</t>
        </is>
      </c>
      <c r="C98" s="2" t="inlineStr">
        <is>
          <t>Only serious adverse events must be reported (within 15 business days). A transient rash is an adverse event but not 'serious' unless it meets 604 criteria (e.g., death, hospitalization, infection, significant disfigurement incl. serious and persistent rashes, medical intervention to prevent these). Responsible person must still keep records related to each adverse event report for 6 years (3 years for qualifying small businesses).</t>
        </is>
      </c>
      <c r="D98" s="2" t="inlineStr">
        <is>
          <t>The generated answer could not be validated against the retrieved regulatory evidence, so it is not shown. The retrieved sources were not verified to answer the question as asked, so their text is not quoted as an answer. Sources consulted: FDA Guidance: Enforcement Policy for Face Masks and Barrier Face Coverings During the Coronavirus Disease (COVID-19) Public Health Emergency : Guidance for Industry and Food and Drug Administration Staff (final, 2023-09-05, Docket FDA-2020-D-1138), 21 CFR 312.33, 21 CFR 347.50(c)(6)(ii), 21 CFR 350.50(c)(4)(i).</t>
        </is>
      </c>
      <c r="E98" s="2" t="inlineStr">
        <is>
          <t>FAIL</t>
        </is>
      </c>
      <c r="F98" s="2" t="inlineStr">
        <is>
          <t>No answer delivered: draft degenerate and withheld. The key's answer (only serious adverse events must be reported within 15 business days; a transient rash is not serious; keep records 6 years) depends on FD&amp;C Act 604/605, which are not in the corpus.</t>
        </is>
      </c>
      <c r="G98" s="3" t="n">
        <v>17.614</v>
      </c>
      <c r="H98" s="4" t="n">
        <v>1437</v>
      </c>
      <c r="I98" s="4" t="n">
        <v>192</v>
      </c>
      <c r="J98" s="2" t="inlineStr">
        <is>
          <t>Qwen/Qwen3-0.6B</t>
        </is>
      </c>
      <c r="K98" s="2" t="inlineStr">
        <is>
          <t>BAAI/bge-small-en-v1.5 (evaluator aligner; semantic retrieval not invoked)</t>
        </is>
      </c>
      <c r="L98" s="2" t="inlineStr">
        <is>
          <t>SUCCESS</t>
        </is>
      </c>
      <c r="M98" s="2" t="inlineStr"/>
      <c r="N98" s="2" t="inlineStr">
        <is>
          <t>Key cites FD&amp;C Act (statute) only; the Regulus corpus holds eCFR and FDA guidance, no statute text. Evidence (5): FDA Guidance: Enforcement Policy for Face Masks and Barrier Face Coverings During the Coronavirus Disease (COV [full_text_or]; FDA Guidance: Enforcement Policy for Face Masks and Barrier Face Coverings During the Coronavirus Disease (COV [full_text_or]; 21 CFR 312.33 [full_text_or]; 21 CFR 347.50(c)(6)(ii) [full_text_or]; 21 CFR 350.50(c)(4)(i) [full_text_or]. Query type GENERAL_REGULATORY_SEARCH; semantic fallback not invoked. Coverage evidence_complete=True.</t>
        </is>
      </c>
      <c r="O98" s="2" t="n">
        <v>97</v>
      </c>
      <c r="P98" s="2" t="inlineStr">
        <is>
          <t>UC-COS (Part blank)</t>
        </is>
      </c>
      <c r="Q98" s="2" t="inlineStr">
        <is>
          <t>Applicability</t>
        </is>
      </c>
      <c r="R98" s="2" t="inlineStr">
        <is>
          <t>Basic</t>
        </is>
      </c>
      <c r="S98" s="2" t="inlineStr">
        <is>
          <t>FD&amp;C Act 605(a)–(b), (e) (21 U.S.C. 364a); 604 (21 U.S.C. 364) adverse event / serious adverse event</t>
        </is>
      </c>
      <c r="T98" s="2" t="n">
        <v>0</v>
      </c>
      <c r="U98" s="2" t="n">
        <v>0</v>
      </c>
      <c r="V98" s="2" t="n">
        <v>0</v>
      </c>
      <c r="W98" s="2" t="n">
        <v>0</v>
      </c>
      <c r="X98" s="2" t="n">
        <v>1</v>
      </c>
      <c r="Y98" s="2" t="inlineStr">
        <is>
          <t>Withheld by validator (no answer shown)</t>
        </is>
      </c>
      <c r="Z98" s="2" t="inlineStr">
        <is>
          <t>initial degenerate [degenerate_output, truncated, repeated_statement] -&gt; final incomplete; repair applied; fallback unvalidated_answer_withheld; stop repetition; generation hit token allowance</t>
        </is>
      </c>
      <c r="AA98" s="2" t="inlineStr"/>
      <c r="AB98" s="2" t="inlineStr">
        <is>
          <t>FAIL</t>
        </is>
      </c>
      <c r="AC98" s="2" t="n">
        <v>0</v>
      </c>
      <c r="AD98" s="2" t="inlineStr">
        <is>
          <t>Incorrect refusal: the generated answer failed validation and was suppressed, so the question went unanswered - the suppression was right, the outcome is still no answer</t>
        </is>
      </c>
      <c r="AE98" s="3" t="n">
        <v>17.609</v>
      </c>
      <c r="AF98" s="3" t="n">
        <v>0.78</v>
      </c>
      <c r="AG98" s="3" t="n">
        <v>16.82</v>
      </c>
      <c r="AH98" s="3" t="n">
        <v>0.001</v>
      </c>
      <c r="AI98" s="2" t="inlineStr"/>
    </row>
    <row r="99">
      <c r="A99" s="2" t="inlineStr">
        <is>
          <t>UC-COS-017</t>
        </is>
      </c>
      <c r="B99" s="2" t="inlineStr">
        <is>
          <t>We're a distributor whose name is on the label; the product is made by a contract manufacturer. A user was hospitalized after using our hair-straightening cream. Who reports, by when, and what goes in the report?</t>
        </is>
      </c>
      <c r="C99" s="2" t="inlineStr">
        <is>
          <t>Responsible person = manufacturer, packer or distributor named on label, so the distributor reports. Submit serious AE report with a copy of the label no later than 15 business days after receipt; new and material medical information received within 1 year must be submitted within 15 business days. Hospitalization is a serious AE criterion. No legal opinion.</t>
        </is>
      </c>
      <c r="D99" s="2" t="inlineStr">
        <is>
          <t>The generated answer could not be validated against the retrieved regulatory evidence, so it is not shown. The retrieved sources were not verified to answer the question as asked, so their text is not quoted as an answer. Sources consulted: FDA Guidance: Biological Product Deviation Reporting for Licensed Manufacturers of Biological Products Other than Blood and Blood Components (final, 2006-10-19, Docket FDA-2001-D-0008), FDA Guidance: CVM GFI #231 Distributor Labeling for New Animal Drugs (final, 2016-04-20, Docket FDA-2015-D-3056), 21 CFR 700.13(a), 21 CFR 720.4(c)(5)(iii).</t>
        </is>
      </c>
      <c r="E99" s="2" t="inlineStr">
        <is>
          <t>FAIL</t>
        </is>
      </c>
      <c r="F99" s="2" t="inlineStr">
        <is>
          <t>No answer delivered: draft degenerate and withheld. The key's answer (the labeled distributor is the responsible person and reports within 15 business days with the label) depends on FD&amp;C Act 604/605, which are not in the corpus.</t>
        </is>
      </c>
      <c r="G99" s="3" t="n">
        <v>16.633</v>
      </c>
      <c r="H99" s="4" t="n">
        <v>1405</v>
      </c>
      <c r="I99" s="4" t="n">
        <v>160</v>
      </c>
      <c r="J99" s="2" t="inlineStr">
        <is>
          <t>Qwen/Qwen3-0.6B</t>
        </is>
      </c>
      <c r="K99" s="2" t="inlineStr">
        <is>
          <t>BAAI/bge-small-en-v1.5 (evaluator aligner; semantic retrieval not invoked)</t>
        </is>
      </c>
      <c r="L99" s="2" t="inlineStr">
        <is>
          <t>SUCCESS</t>
        </is>
      </c>
      <c r="M99" s="2" t="inlineStr"/>
      <c r="N99" s="2" t="inlineStr">
        <is>
          <t>Key cites FD&amp;C Act (statute) only; the Regulus corpus holds eCFR and FDA guidance, no statute text. Evidence (4): FDA Guidance: Biological Product Deviation Reporting for Licensed Manufacturers of Biological Products Other t [full_text_or]; FDA Guidance: CVM GFI #231 Distributor Labeling for New Animal Drugs (final, 2016-04-20, Docket FDA-2015-D-305 [full_text_or]; 21 CFR 700.13(a) [full_text_or]; 21 CFR 720.4(c)(5)(iii) [full_text_or]. Query type GENERAL_REGULATORY_SEARCH; semantic fallback not invoked. Coverage evidence_complete=True.</t>
        </is>
      </c>
      <c r="O99" s="2" t="n">
        <v>98</v>
      </c>
      <c r="P99" s="2" t="inlineStr">
        <is>
          <t>UC-COS (Part blank)</t>
        </is>
      </c>
      <c r="Q99" s="2" t="inlineStr">
        <is>
          <t>Specific Requirement</t>
        </is>
      </c>
      <c r="R99" s="2" t="inlineStr">
        <is>
          <t>Intermediate</t>
        </is>
      </c>
      <c r="S99" s="2" t="inlineStr">
        <is>
          <t>FD&amp;C Act 605(a), (b)(1)–(2) (21 U.S.C. 364a); 604 responsible person</t>
        </is>
      </c>
      <c r="T99" s="2" t="n">
        <v>0</v>
      </c>
      <c r="U99" s="2" t="n">
        <v>0</v>
      </c>
      <c r="V99" s="2" t="n">
        <v>0</v>
      </c>
      <c r="W99" s="2" t="n">
        <v>0</v>
      </c>
      <c r="X99" s="2" t="n">
        <v>1</v>
      </c>
      <c r="Y99" s="2" t="inlineStr">
        <is>
          <t>Withheld by validator (no answer shown)</t>
        </is>
      </c>
      <c r="Z99" s="2" t="inlineStr">
        <is>
          <t>initial degenerate [degenerate_output, truncated, repeated_statement] -&gt; final evidence_mismatched; repair applied; fallback unvalidated_answer_withheld; stop repetition; generation hit token allowance</t>
        </is>
      </c>
      <c r="AA99" s="2" t="inlineStr"/>
      <c r="AB99" s="2" t="inlineStr">
        <is>
          <t>FAIL</t>
        </is>
      </c>
      <c r="AC99" s="2" t="n">
        <v>0</v>
      </c>
      <c r="AD99" s="2" t="inlineStr">
        <is>
          <t>Incorrect refusal: the generated answer failed validation and was suppressed, so the question went unanswered - the suppression was right, the outcome is still no answer</t>
        </is>
      </c>
      <c r="AE99" s="3" t="n">
        <v>16.629</v>
      </c>
      <c r="AF99" s="3" t="n">
        <v>2.4</v>
      </c>
      <c r="AG99" s="3" t="n">
        <v>14.222</v>
      </c>
      <c r="AH99" s="3" t="n">
        <v>0.001</v>
      </c>
      <c r="AI99" s="2" t="inlineStr"/>
    </row>
    <row r="100">
      <c r="A100" s="2" t="inlineStr">
        <is>
          <t>UC-COS-020</t>
        </is>
      </c>
      <c r="B100" s="2" t="inlineStr">
        <is>
          <t>Our contract manufacturer rejected a batch of eye shadow for microbial contamination. Can we rework it, and does any FDA rule govern the reprocessing?</t>
        </is>
      </c>
      <c r="C100" s="2" t="inlineStr">
        <is>
          <t>No codified cosmetic reprocessing/rework rule. Distributed product must not be adulterated: 601(b) filthy/putrid/decomposed substance, 601(c) insanitary conditions/injurious to health. 608 requires adequate safety substantiation for the product as marketed. Products that regularly contact the mucous membrane of the eye under customary or usual use are excluded from the 612 small-business exemption from 606/607 (612(b)(1)). No compliance guarantee.</t>
        </is>
      </c>
      <c r="D100" s="2" t="inlineStr">
        <is>
          <t>The FDA requires that contract manufacturers must ensure that all operations in receiving, inspecting, transporting, segregating, preparing, manufacturing, packaging, and storing of food comply with sanitation principles. If any food becomes contaminated, it shall be rejected, or if permissible, treated or processed to eliminate the contamination. If applicable, the FDA guidance requires that the contract manufacturer must have a procedure in place for receiving information from the contract facility on all deviations, complaints, and adverse events. If applicable, the FDA guidance also requires that the contract manufacturer must have access to floor plans, equipment validation, and other production information.</t>
        </is>
      </c>
      <c r="E100" s="2" t="inlineStr">
        <is>
          <t>FAIL</t>
        </is>
      </c>
      <c r="F100" s="2" t="inlineStr">
        <is>
          <t>Wrong. States food-plant sanitation requirements ('storing of food ... contaminated food shall be rejected') and contract-manufacturing guidance as FDA requirements for an eye-shadow rework. Key: no codified cosmetic rework rule; 601(b)-(c) adulteration, 608 substantiation, and eye-area products are excluded from the 612 small-business exemption. Fabricated = 1 (bank Instructions rule 3, invented requirement): Food-plant sanitation requirements stated as FDA requirements for reworking an eye shadow.</t>
        </is>
      </c>
      <c r="G100" s="3" t="n">
        <v>14.888</v>
      </c>
      <c r="H100" s="4" t="n">
        <v>1308</v>
      </c>
      <c r="I100" s="4" t="n">
        <v>161</v>
      </c>
      <c r="J100" s="2" t="inlineStr">
        <is>
          <t>Qwen/Qwen3-0.6B</t>
        </is>
      </c>
      <c r="K100" s="2" t="inlineStr">
        <is>
          <t>BAAI/bge-small-en-v1.5 (evaluator aligner; semantic retrieval not invoked)</t>
        </is>
      </c>
      <c r="L100" s="2" t="inlineStr">
        <is>
          <t>SUCCESS</t>
        </is>
      </c>
      <c r="M100" s="2" t="inlineStr"/>
      <c r="N100" s="2" t="inlineStr">
        <is>
          <t>Key cites FD&amp;C Act (statute) only; the Regulus corpus holds eCFR and FDA guidance, no statute text. Evidence (3): FDA Guidance: Cooperative Manufacturing Arrangements for Licensed Biologics: Guidance for Industry (final, 200 [full_text_or]; FDA Guidance: Cooperative Manufacturing Arrangements for Licensed Biologics: Guidance for Industry (final, 200 [full_text_or]; 21 CFR 110.80 [full_text_or]. Query type GENERAL_REGULATORY_SEARCH; semantic fallback not invoked. Coverage evidence_complete=True.</t>
        </is>
      </c>
      <c r="O100" s="2" t="n">
        <v>99</v>
      </c>
      <c r="P100" s="2" t="inlineStr">
        <is>
          <t>UC-COS (Part blank)</t>
        </is>
      </c>
      <c r="Q100" s="2" t="inlineStr">
        <is>
          <t>Applicability</t>
        </is>
      </c>
      <c r="R100" s="2" t="inlineStr">
        <is>
          <t>Intermediate</t>
        </is>
      </c>
      <c r="S100" s="2" t="inlineStr">
        <is>
          <t>FD&amp;C Act 601(b)–(c) (21 U.S.C. 361); 606 (no regulation); 608; 612(b)(1) (21 U.S.C. 364h); 21 CFR Parts 700–740</t>
        </is>
      </c>
      <c r="T100" s="2" t="n">
        <v>0</v>
      </c>
      <c r="U100" s="2" t="n">
        <v>1</v>
      </c>
      <c r="V100" s="2" t="n">
        <v>0</v>
      </c>
      <c r="W100" s="2" t="n">
        <v>0</v>
      </c>
      <c r="X100" s="2" t="n">
        <v>1</v>
      </c>
      <c r="Y100" s="2" t="inlineStr">
        <is>
          <t>Generated answer</t>
        </is>
      </c>
      <c r="Z100" s="2" t="inlineStr">
        <is>
          <t>initial valid -&gt; final valid</t>
        </is>
      </c>
      <c r="AA100" s="2" t="inlineStr"/>
      <c r="AB100" s="2" t="inlineStr">
        <is>
          <t>FAIL</t>
        </is>
      </c>
      <c r="AC100" s="2" t="n">
        <v>0</v>
      </c>
      <c r="AD100" s="2" t="inlineStr">
        <is>
          <t>Partially correct: 1 statement(s) drop a condition the evidence carries; 3 statement(s) could not be verified; 4 statement(s) only partly address the question - e.g. the regulation it corresponds to (FDA Guidance: Cooperative Manufacturing Arrangements for Licensed Biologics: Guidance for Industry (final, 2008-11-28, Docket FDA-1999-D-0128), 21 CFR 110.80) is about contract; the answer does not c…</t>
        </is>
      </c>
      <c r="AE100" s="3" t="n">
        <v>14.789</v>
      </c>
      <c r="AF100" s="3" t="n">
        <v>0.9399999999999999</v>
      </c>
      <c r="AG100" s="3" t="n">
        <v>13.846</v>
      </c>
      <c r="AH100" s="3" t="n">
        <v>0.097</v>
      </c>
      <c r="AI100" s="2" t="inlineStr"/>
    </row>
    <row r="101">
      <c r="A101" s="2" t="inlineStr">
        <is>
          <t>UC-COS-021</t>
        </is>
      </c>
      <c r="B101" s="2" t="inlineStr">
        <is>
          <t>FDA believes our lash adhesive likely caused serious injuries. If we refuse to stop distribution, what can FDA do, and what records can it see about the affected lots?</t>
        </is>
      </c>
      <c r="C101" s="2" t="inlineStr">
        <is>
          <t>611: if FDA finds a reasonable probability the product is adulterated or misbranded and will cause SAHCOD, it must first offer voluntary cessation and recall; on refusal it may order immediate cessation of distribution, hold an informal hearing within 10 days, then vacate, continue or amend the order to require recall. 610: access to related records (formulas, financial, pricing excluded; safety substantiation, shipment data included). 607 suspension. No legal opinion.</t>
        </is>
      </c>
      <c r="D101" s="2" t="inlineStr">
        <is>
          <t>The FDA believes that the lash adhesive may have caused serious injuries. If the distribution is not stopped, the FDA can access records related to the affected lots, including those of the lash adhesive, as per the FDA guidance. The records can include information about the adhesive's use, distribution, and any potential health impacts. The sources that support this are [1][2][4].</t>
        </is>
      </c>
      <c r="E101" s="2" t="inlineStr">
        <is>
          <t>FAIL</t>
        </is>
      </c>
      <c r="F101" s="2" t="inlineStr">
        <is>
          <t>Fails to answer. Restates the question and says only that FDA 'can access records related to the affected lots ... as per the FDA guidance', citing food recordkeeping guidance and a device MDR definition. It does not describe what FDA can do on refusal (611 mandatory cessation order, informal hearing within 10 days, recall order) or 607 suspension, and the records statement is not supported by any cosmetic provision. The statute is not in the corpus.</t>
        </is>
      </c>
      <c r="G101" s="3" t="n">
        <v>9.145</v>
      </c>
      <c r="H101" s="4" t="n">
        <v>1366</v>
      </c>
      <c r="I101" s="4" t="n">
        <v>77</v>
      </c>
      <c r="J101" s="2" t="inlineStr">
        <is>
          <t>Qwen/Qwen3-0.6B</t>
        </is>
      </c>
      <c r="K101" s="2" t="inlineStr">
        <is>
          <t>BAAI/bge-small-en-v1.5 (evaluator aligner; semantic retrieval not invoked)</t>
        </is>
      </c>
      <c r="L101" s="2" t="inlineStr">
        <is>
          <t>SUCCESS</t>
        </is>
      </c>
      <c r="M101" s="2" t="inlineStr"/>
      <c r="N101" s="2" t="inlineStr">
        <is>
          <t>Key cites FD&amp;C Act (statute) only; the Regulus corpus holds eCFR and FDA guidance, no statute text. Evidence (4): FDA Guidance: Small Entity Compliance Guide: What You Need to Know About Establishment and Maintenance of Reco [full_text_or]; FDA Guidance: Guidance for Industry: Questions and Answers Regarding Establishment and Maintenance of Records  [full_text_or]; 21 CFR 803.3(o)(2)(ii) [full_text_or]; 21 CFR 803.3(c) [full_text_or]. Query type GENERAL_REGULATORY_SEARCH; semantic fallback not invoked. Coverage evidence_complete=True.</t>
        </is>
      </c>
      <c r="O101" s="2" t="n">
        <v>100</v>
      </c>
      <c r="P101" s="2" t="inlineStr">
        <is>
          <t>UC-COS (Part blank)</t>
        </is>
      </c>
      <c r="Q101" s="2" t="inlineStr">
        <is>
          <t>How to Comply</t>
        </is>
      </c>
      <c r="R101" s="2" t="inlineStr">
        <is>
          <t>Advanced</t>
        </is>
      </c>
      <c r="S101" s="2" t="inlineStr">
        <is>
          <t>FD&amp;C Act 610 (21 U.S.C. 364f); 611 (21 U.S.C. 364g) mandatory recall; 607 (21 U.S.C. 364c) suspension</t>
        </is>
      </c>
      <c r="T101" s="2" t="n">
        <v>0</v>
      </c>
      <c r="U101" s="2" t="n">
        <v>0</v>
      </c>
      <c r="V101" s="2" t="n">
        <v>0</v>
      </c>
      <c r="W101" s="2" t="n">
        <v>0</v>
      </c>
      <c r="X101" s="2" t="n">
        <v>1</v>
      </c>
      <c r="Y101" s="2" t="inlineStr">
        <is>
          <t>Generated answer</t>
        </is>
      </c>
      <c r="Z101" s="2" t="inlineStr">
        <is>
          <t>initial valid -&gt; final valid</t>
        </is>
      </c>
      <c r="AA101" s="2" t="inlineStr">
        <is>
          <t>[1] = FDA Guidance: Small Entity Compliance Guide: What You Need to Know About Establishment and Maintenance of Records (final, 2014-04-04, Docket FDA-2013-N-1421); [2] = FDA Guidance: Guidance for Industry: Questions and Answers Regarding Establishment and Maintenance of Records By Persons Who Manufacture, Process, Pack, Transport, Distribute, Receive, Hold, or Import Food (Edition 5) (final, 2012-01-31, Docket FDA-2011-D-0598); [4] = 21 CFR 803.3(c)</t>
        </is>
      </c>
      <c r="AB101" s="2" t="inlineStr">
        <is>
          <t>NOT EVALUATED</t>
        </is>
      </c>
      <c r="AC101" s="2" t="n"/>
      <c r="AD101" s="2" t="inlineStr">
        <is>
          <t>Cannot be verified: 4 statement(s) address the question but none could be verified against the retrieved evidence</t>
        </is>
      </c>
      <c r="AE101" s="3" t="n">
        <v>8.981999999999999</v>
      </c>
      <c r="AF101" s="3" t="n">
        <v>1.547</v>
      </c>
      <c r="AG101" s="3" t="n">
        <v>7.432</v>
      </c>
      <c r="AH101" s="3" t="n">
        <v>0.159</v>
      </c>
      <c r="AI101" s="2" t="inlineStr"/>
    </row>
  </sheetData>
  <autoFilter ref="A1:AI101"/>
  <conditionalFormatting sqref="E2:E101">
    <cfRule type="expression" priority="1" dxfId="0" stopIfTrue="1">
      <formula>$E2="PASS"</formula>
    </cfRule>
    <cfRule type="expression" priority="2" dxfId="1" stopIfTrue="1">
      <formula>$E2="PARTIALLY PASS"</formula>
    </cfRule>
    <cfRule type="expression" priority="3" dxfId="2" stopIfTrue="1">
      <formula>$E2="PARTIALLY FAIL"</formula>
    </cfRule>
    <cfRule type="expression" priority="4" dxfId="3" stopIfTrue="1">
      <formula>$E2="FAIL"</formula>
    </cfRule>
    <cfRule type="expression" priority="5" dxfId="4" stopIfTrue="1">
      <formula>$E2="NOT EVALUATED"</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3"/>
  <sheetViews>
    <sheetView zoomScale="100" workbookViewId="0">
      <selection activeCell="A1" sqref="A1"/>
    </sheetView>
  </sheetViews>
  <sheetFormatPr baseColWidth="8" defaultRowHeight="15"/>
  <cols>
    <col width="2" customWidth="1" min="1" max="1"/>
    <col width="46" customWidth="1" min="2" max="2"/>
    <col width="22" customWidth="1" min="3" max="3"/>
    <col width="70" customWidth="1" min="4" max="4"/>
  </cols>
  <sheetData>
    <row r="1">
      <c r="B1" s="5" t="inlineStr">
        <is>
          <t>Regulus Cosmetics Benchmark — 100 main questions</t>
        </is>
      </c>
    </row>
    <row r="2">
      <c r="B2" s="6" t="inlineStr">
        <is>
          <t>Run cosmetics100_20261020T124217Z · 2026-10-20 12:45:38.782 → 13:14:34.437 UTC · model Qwen/Qwen3-0.6B · rubric scoring is AI-assisted against the bank's verified key (not SME-signed)</t>
        </is>
      </c>
    </row>
    <row r="4">
      <c r="B4" s="7" t="inlineStr">
        <is>
          <t>Benchmark overview</t>
        </is>
      </c>
      <c r="C4" s="7" t="n"/>
      <c r="D4" s="7" t="n"/>
    </row>
    <row r="5">
      <c r="B5" s="2" t="inlineStr">
        <is>
          <t>Question bank filename</t>
        </is>
      </c>
      <c r="C5" s="8" t="inlineStr">
        <is>
          <t>Regulus_QBank_Cosmetics_REV01.xlsx</t>
        </is>
      </c>
      <c r="D5" s="9" t="inlineStr">
        <is>
          <t>Questions sheet only (main questions); follow-ups not used</t>
        </is>
      </c>
    </row>
    <row r="6">
      <c r="B6" s="2" t="inlineStr">
        <is>
          <t>Total questions selected</t>
        </is>
      </c>
      <c r="C6" s="10">
        <f>COUNTA('Question Results'!$A$2:$A$101)</f>
        <v/>
      </c>
      <c r="D6" s="9" t="inlineStr">
        <is>
          <t>rows on Question Results</t>
        </is>
      </c>
    </row>
    <row r="7">
      <c r="B7" s="2" t="inlineStr">
        <is>
          <t>Total questions attempted</t>
        </is>
      </c>
      <c r="C7" s="10">
        <f>COUNTA('Question Results'!$L$2:$L$101)-COUNTIF('Question Results'!$L$2:$L$101,"NOT RUN")</f>
        <v/>
      </c>
      <c r="D7" s="9" t="inlineStr">
        <is>
          <t>rows with an execution status other than NOT RUN</t>
        </is>
      </c>
    </row>
    <row r="8">
      <c r="B8" s="2" t="inlineStr">
        <is>
          <t>Total successfully generated answers</t>
        </is>
      </c>
      <c r="C8" s="10">
        <f>COUNTIF('Question Results'!$L$2:$L$101,"SUCCESS")</f>
        <v/>
      </c>
      <c r="D8" s="9" t="inlineStr">
        <is>
          <t>HTTP 200 with an answer field (includes answers the validator replaced with a withholding notice)</t>
        </is>
      </c>
    </row>
    <row r="9">
      <c r="B9" s="2" t="inlineStr">
        <is>
          <t xml:space="preserve">  of which withheld by the validator</t>
        </is>
      </c>
      <c r="C9" s="10">
        <f>COUNTIF('Question Results'!$Y$2:$Y$101,"Withheld*")</f>
        <v/>
      </c>
      <c r="D9" s="9" t="inlineStr">
        <is>
          <t>Delivered Answer Type = Withheld by validator</t>
        </is>
      </c>
    </row>
    <row r="10">
      <c r="B10" s="2" t="inlineStr">
        <is>
          <t xml:space="preserve">  of which another fallback/repair text</t>
        </is>
      </c>
      <c r="C10" s="10">
        <f>COUNTIF('Question Results'!$Y$2:$Y$101,"Fallback*")+COUNTIF('Question Results'!$Y$2:$Y$101,"Repair*")</f>
        <v/>
      </c>
      <c r="D10" s="9" t="inlineStr"/>
    </row>
    <row r="11">
      <c r="B11" s="2" t="inlineStr">
        <is>
          <t>Total execution errors</t>
        </is>
      </c>
      <c r="C11" s="10">
        <f>COUNTIF('Question Results'!$L$2:$L$101,"ERROR")</f>
        <v/>
      </c>
      <c r="D11" s="9" t="inlineStr"/>
    </row>
    <row r="12">
      <c r="B12" s="2" t="inlineStr">
        <is>
          <t>Total timeouts</t>
        </is>
      </c>
      <c r="C12" s="10">
        <f>COUNTIF('Question Results'!$L$2:$L$101,"TIMEOUT")</f>
        <v/>
      </c>
      <c r="D12" s="9" t="inlineStr">
        <is>
          <t>client timeout 1800 s</t>
        </is>
      </c>
    </row>
    <row r="13">
      <c r="B13" s="2" t="inlineStr">
        <is>
          <t>Total evaluated questions</t>
        </is>
      </c>
      <c r="C13" s="10">
        <f>COUNTA('Question Results'!$E$2:$E$101)-COUNTIF('Question Results'!$E$2:$E$101,"NOT EVALUATED")</f>
        <v/>
      </c>
      <c r="D13" s="9" t="inlineStr">
        <is>
          <t>PASS + PARTIALLY PASS + PARTIALLY FAIL + FAIL</t>
        </is>
      </c>
    </row>
    <row r="14">
      <c r="B14" s="2" t="inlineStr">
        <is>
          <t>Questions not evaluated</t>
        </is>
      </c>
      <c r="C14" s="10">
        <f>COUNTIF('Question Results'!$E$2:$E$101,"NOT EVALUATED")</f>
        <v/>
      </c>
      <c r="D14" s="9" t="inlineStr"/>
    </row>
    <row r="15">
      <c r="B15" s="2" t="inlineStr">
        <is>
          <t>Benchmark execution (UTC)</t>
        </is>
      </c>
      <c r="C15" s="8" t="inlineStr">
        <is>
          <t>2026-10-20 12:45:38.782 → 13:14:34.437 UTC</t>
        </is>
      </c>
      <c r="D15" s="9" t="inlineStr">
        <is>
          <t>first question sent → last answer received</t>
        </is>
      </c>
    </row>
    <row r="16">
      <c r="B16" s="2" t="inlineStr">
        <is>
          <t>Benchmark run identifier</t>
        </is>
      </c>
      <c r="C16" s="8" t="inlineStr">
        <is>
          <t>cosmetics100_20261020T124217Z</t>
        </is>
      </c>
      <c r="D16" s="9" t="inlineStr">
        <is>
          <t>artifacts/cosmetics_benchmark/&lt;run id&gt;/</t>
        </is>
      </c>
    </row>
    <row r="18">
      <c r="B18" s="7" t="inlineStr">
        <is>
          <t>Evaluation results (rubric vs verified key)</t>
        </is>
      </c>
      <c r="C18" s="7" t="n"/>
      <c r="D18" s="7" t="n"/>
    </row>
    <row r="19">
      <c r="A19" s="11" t="n"/>
      <c r="B19" s="1" t="inlineStr">
        <is>
          <t>Category</t>
        </is>
      </c>
      <c r="C19" s="1" t="inlineStr">
        <is>
          <t>Count</t>
        </is>
      </c>
      <c r="D19" s="1" t="inlineStr">
        <is>
          <t>Share of evaluated questions</t>
        </is>
      </c>
    </row>
    <row r="20">
      <c r="B20" s="12" t="inlineStr">
        <is>
          <t>PASS</t>
        </is>
      </c>
      <c r="C20" s="13">
        <f>COUNTIF('Question Results'!$E$2:$E$101,"PASS")</f>
        <v/>
      </c>
      <c r="D20" s="14">
        <f>IFERROR(C20/$C$13,"")</f>
        <v/>
      </c>
    </row>
    <row r="21">
      <c r="B21" s="15" t="inlineStr">
        <is>
          <t>PARTIALLY PASS</t>
        </is>
      </c>
      <c r="C21" s="13">
        <f>COUNTIF('Question Results'!$E$2:$E$101,"PARTIALLY PASS")</f>
        <v/>
      </c>
      <c r="D21" s="14">
        <f>IFERROR(C21/$C$13,"")</f>
        <v/>
      </c>
    </row>
    <row r="22">
      <c r="B22" s="16" t="inlineStr">
        <is>
          <t>PARTIALLY FAIL</t>
        </is>
      </c>
      <c r="C22" s="13">
        <f>COUNTIF('Question Results'!$E$2:$E$101,"PARTIALLY FAIL")</f>
        <v/>
      </c>
      <c r="D22" s="14">
        <f>IFERROR(C22/$C$13,"")</f>
        <v/>
      </c>
    </row>
    <row r="23">
      <c r="B23" s="17" t="inlineStr">
        <is>
          <t>FAIL</t>
        </is>
      </c>
      <c r="C23" s="13">
        <f>COUNTIF('Question Results'!$E$2:$E$101,"FAIL")</f>
        <v/>
      </c>
      <c r="D23" s="14">
        <f>IFERROR(C23/$C$13,"")</f>
        <v/>
      </c>
    </row>
    <row r="24">
      <c r="B24" s="18" t="inlineStr">
        <is>
          <t>NOT EVALUATED</t>
        </is>
      </c>
      <c r="C24" s="13">
        <f>COUNTIF('Question Results'!$E$2:$E$101,"NOT EVALUATED")</f>
        <v/>
      </c>
      <c r="D24" s="19" t="inlineStr">
        <is>
          <t>excluded from the evaluated denominator</t>
        </is>
      </c>
    </row>
    <row r="25">
      <c r="B25" s="20" t="inlineStr">
        <is>
          <t>TOTAL SELECTED</t>
        </is>
      </c>
      <c r="C25" s="20">
        <f>SUM(C20:C24)</f>
        <v/>
      </c>
      <c r="D25" s="21">
        <f>IF(C25=$C$6,"reconciles with questions selected","DOES NOT RECONCILE")</f>
        <v/>
      </c>
    </row>
    <row r="27">
      <c r="B27" s="7" t="inlineStr">
        <is>
          <t>Rates</t>
        </is>
      </c>
      <c r="C27" s="7" t="n"/>
      <c r="D27" s="7" t="n"/>
    </row>
    <row r="28">
      <c r="B28" s="22" t="inlineStr">
        <is>
          <t>Strict pass rate</t>
        </is>
      </c>
      <c r="C28" s="23">
        <f>IFERROR($C$20/$C$13,"")</f>
        <v/>
      </c>
      <c r="D28" s="9" t="inlineStr">
        <is>
          <t>PASS ÷ evaluated questions</t>
        </is>
      </c>
    </row>
    <row r="29">
      <c r="B29" s="22" t="inlineStr">
        <is>
          <t>Pass-or-partially-pass rate</t>
        </is>
      </c>
      <c r="C29" s="23">
        <f>IFERROR(($C$20+$C$21)/$C$13,"")</f>
        <v/>
      </c>
      <c r="D29" s="9" t="inlineStr">
        <is>
          <t>(PASS + PARTIALLY PASS) ÷ evaluated questions</t>
        </is>
      </c>
    </row>
    <row r="30">
      <c r="B30" s="2" t="inlineStr">
        <is>
          <t>Partial-failure rate</t>
        </is>
      </c>
      <c r="C30" s="24">
        <f>IFERROR($C$22/$C$13,"")</f>
        <v/>
      </c>
      <c r="D30" s="9" t="inlineStr">
        <is>
          <t>PARTIALLY FAIL ÷ evaluated questions</t>
        </is>
      </c>
    </row>
    <row r="31">
      <c r="B31" s="2" t="inlineStr">
        <is>
          <t>Failure rate</t>
        </is>
      </c>
      <c r="C31" s="24">
        <f>IFERROR($C$23/$C$13,"")</f>
        <v/>
      </c>
      <c r="D31" s="9" t="inlineStr">
        <is>
          <t>FAIL ÷ evaluated questions</t>
        </is>
      </c>
    </row>
    <row r="32">
      <c r="B32" s="2" t="inlineStr">
        <is>
          <t>Evaluation coverage</t>
        </is>
      </c>
      <c r="C32" s="24">
        <f>IFERROR($C$13/$C$6,"")</f>
        <v/>
      </c>
      <c r="D32" s="9" t="inlineStr">
        <is>
          <t>evaluated ÷ total selected</t>
        </is>
      </c>
    </row>
    <row r="33">
      <c r="B33" s="2" t="inlineStr">
        <is>
          <t>Execution success rate</t>
        </is>
      </c>
      <c r="C33" s="24">
        <f>IFERROR($C$8/$C$6,"")</f>
        <v/>
      </c>
      <c r="D33" s="9" t="inlineStr">
        <is>
          <t>successful answer generations ÷ total selected</t>
        </is>
      </c>
    </row>
    <row r="35">
      <c r="B35" s="7" t="inlineStr">
        <is>
          <t>Performance statistics (measured values only; blanks are not zeros)</t>
        </is>
      </c>
      <c r="C35" s="7" t="n"/>
      <c r="D35" s="7" t="n"/>
    </row>
    <row r="36">
      <c r="B36" s="2" t="inlineStr">
        <is>
          <t>Total benchmark duration — wall clock (s)</t>
        </is>
      </c>
      <c r="C36" s="25" t="n">
        <v>1735.655</v>
      </c>
      <c r="D36" s="9" t="inlineStr">
        <is>
          <t>first request sent → last response received (run_log.jsonl; excludes the warm-up)</t>
        </is>
      </c>
    </row>
    <row r="37">
      <c r="B37" s="2" t="inlineStr">
        <is>
          <t>Total benchmark duration — sum of question durations (s)</t>
        </is>
      </c>
      <c r="C37" s="25">
        <f>SUM('Question Results'!$G$2:$G$101)</f>
        <v/>
      </c>
      <c r="D37" s="9" t="inlineStr"/>
    </row>
    <row r="38">
      <c r="B38" s="22" t="inlineStr">
        <is>
          <t>Average question duration (s)</t>
        </is>
      </c>
      <c r="C38" s="26">
        <f>IFERROR(AVERAGE('Question Results'!$G$2:$G$101),"")</f>
        <v/>
      </c>
      <c r="D38" s="9" t="inlineStr"/>
    </row>
    <row r="39">
      <c r="B39" s="22" t="inlineStr">
        <is>
          <t>Median question duration (s)</t>
        </is>
      </c>
      <c r="C39" s="26">
        <f>IFERROR(MEDIAN('Question Results'!$G$2:$G$101),"")</f>
        <v/>
      </c>
      <c r="D39" s="9" t="inlineStr"/>
    </row>
    <row r="40">
      <c r="B40" s="2" t="inlineStr">
        <is>
          <t>Minimum question duration (s)</t>
        </is>
      </c>
      <c r="C40" s="27">
        <f>IFERROR(MIN('Question Results'!$G$2:$G$101),"")</f>
        <v/>
      </c>
      <c r="D40" s="9" t="inlineStr"/>
    </row>
    <row r="41">
      <c r="B41" s="2" t="inlineStr">
        <is>
          <t>Maximum question duration (s)</t>
        </is>
      </c>
      <c r="C41" s="27">
        <f>IFERROR(MAX('Question Results'!$G$2:$G$101),"")</f>
        <v/>
      </c>
      <c r="D41" s="9" t="inlineStr"/>
    </row>
    <row r="42">
      <c r="B42" s="2" t="inlineStr">
        <is>
          <t>Duration observations</t>
        </is>
      </c>
      <c r="C42" s="10">
        <f>COUNT('Question Results'!$G$2:$G$101)</f>
        <v/>
      </c>
      <c r="D42" s="9" t="inlineStr">
        <is>
          <t>questions with a measured duration</t>
        </is>
      </c>
    </row>
    <row r="43">
      <c r="B43" s="2" t="inlineStr">
        <is>
          <t>Average input tokens</t>
        </is>
      </c>
      <c r="C43" s="28">
        <f>IFERROR(AVERAGE('Question Results'!$H$2:$H$101),"")</f>
        <v/>
      </c>
      <c r="D43" s="9" t="inlineStr">
        <is>
          <t>final answer-generation call (one model call per question)</t>
        </is>
      </c>
    </row>
    <row r="44">
      <c r="B44" s="2" t="inlineStr">
        <is>
          <t>Average output tokens</t>
        </is>
      </c>
      <c r="C44" s="28">
        <f>IFERROR(AVERAGE('Question Results'!$I$2:$I$101),"")</f>
        <v/>
      </c>
      <c r="D44" s="9" t="inlineStr"/>
    </row>
    <row r="45">
      <c r="B45" s="2" t="inlineStr">
        <is>
          <t>Total input tokens</t>
        </is>
      </c>
      <c r="C45" s="29">
        <f>SUM('Question Results'!$H$2:$H$101)</f>
        <v/>
      </c>
      <c r="D45" s="9" t="inlineStr"/>
    </row>
    <row r="46">
      <c r="B46" s="2" t="inlineStr">
        <is>
          <t>Total output tokens</t>
        </is>
      </c>
      <c r="C46" s="29">
        <f>SUM('Question Results'!$I$2:$I$101)</f>
        <v/>
      </c>
      <c r="D46" s="9" t="inlineStr"/>
    </row>
    <row r="47">
      <c r="B47" s="2" t="inlineStr">
        <is>
          <t>Input-token observations</t>
        </is>
      </c>
      <c r="C47" s="10">
        <f>COUNT('Question Results'!$H$2:$H$101)</f>
        <v/>
      </c>
      <c r="D47" s="9" t="inlineStr"/>
    </row>
    <row r="48">
      <c r="B48" s="2" t="inlineStr">
        <is>
          <t>Output-token observations</t>
        </is>
      </c>
      <c r="C48" s="10">
        <f>COUNT('Question Results'!$I$2:$I$101)</f>
        <v/>
      </c>
      <c r="D48" s="9" t="inlineStr"/>
    </row>
    <row r="49">
      <c r="B49" s="2" t="inlineStr">
        <is>
          <t>Questions missing duration</t>
        </is>
      </c>
      <c r="C49" s="10">
        <f>$C$6-COUNT('Question Results'!$G$2:$G$101)</f>
        <v/>
      </c>
      <c r="D49" s="9" t="inlineStr"/>
    </row>
    <row r="50">
      <c r="B50" s="2" t="inlineStr">
        <is>
          <t>Questions missing input tokens</t>
        </is>
      </c>
      <c r="C50" s="10">
        <f>$C$6-COUNT('Question Results'!$H$2:$H$101)</f>
        <v/>
      </c>
      <c r="D50" s="9" t="inlineStr">
        <is>
          <t>model not called or no response</t>
        </is>
      </c>
    </row>
    <row r="51">
      <c r="B51" s="2" t="inlineStr">
        <is>
          <t>Questions missing output tokens</t>
        </is>
      </c>
      <c r="C51" s="10">
        <f>$C$6-COUNT('Question Results'!$I$2:$I$101)</f>
        <v/>
      </c>
      <c r="D51" s="9" t="inlineStr"/>
    </row>
    <row r="52">
      <c r="B52" s="2" t="inlineStr">
        <is>
          <t>Average pipeline time (s)</t>
        </is>
      </c>
      <c r="C52" s="27">
        <f>IFERROR(AVERAGE('Question Results'!$AE$2:$AE$101),"")</f>
        <v/>
      </c>
      <c r="D52" s="9" t="inlineStr">
        <is>
          <t>server: RagPipeline.answer only</t>
        </is>
      </c>
    </row>
    <row r="53">
      <c r="B53" s="2" t="inlineStr">
        <is>
          <t>Average retrieval time (s)</t>
        </is>
      </c>
      <c r="C53" s="27">
        <f>IFERROR(AVERAGE('Question Results'!$AF$2:$AF$101),"")</f>
        <v/>
      </c>
      <c r="D53" s="9" t="inlineStr">
        <is>
          <t>server timings_ms.retrieval_ms</t>
        </is>
      </c>
    </row>
    <row r="54">
      <c r="B54" s="2" t="inlineStr">
        <is>
          <t>Average generation time (s)</t>
        </is>
      </c>
      <c r="C54" s="27">
        <f>IFERROR(AVERAGE('Question Results'!$AG$2:$AG$101),"")</f>
        <v/>
      </c>
      <c r="D54" s="9" t="inlineStr">
        <is>
          <t>server timings_ms.generation_ms</t>
        </is>
      </c>
    </row>
    <row r="55">
      <c r="B55" s="2" t="inlineStr">
        <is>
          <t>Average live-evaluation time (s)</t>
        </is>
      </c>
      <c r="C55" s="27">
        <f>IFERROR(AVERAGE('Question Results'!$AH$2:$AH$101),"")</f>
        <v/>
      </c>
      <c r="D55" s="9" t="inlineStr">
        <is>
          <t>server accuracy_ms</t>
        </is>
      </c>
    </row>
    <row r="57">
      <c r="B57" s="7" t="inlineStr">
        <is>
          <t>Regulus live evaluator (recorded alongside; does not decide the category)</t>
        </is>
      </c>
      <c r="C57" s="7" t="n"/>
      <c r="D57" s="7" t="n"/>
    </row>
    <row r="58">
      <c r="B58" s="2" t="inlineStr">
        <is>
          <t>Live evaluator: PASS</t>
        </is>
      </c>
      <c r="C58" s="10">
        <f>COUNTIF('Question Results'!$AB$2:$AB$101,"PASS")</f>
        <v/>
      </c>
      <c r="D58" s="9" t="inlineStr"/>
    </row>
    <row r="59">
      <c r="B59" s="2" t="inlineStr">
        <is>
          <t>Live evaluator: FAIL</t>
        </is>
      </c>
      <c r="C59" s="10">
        <f>COUNTIF('Question Results'!$AB$2:$AB$101,"FAIL")</f>
        <v/>
      </c>
      <c r="D59" s="9" t="inlineStr"/>
    </row>
    <row r="60">
      <c r="B60" s="2" t="inlineStr">
        <is>
          <t>Live evaluator: NOT EVALUATED</t>
        </is>
      </c>
      <c r="C60" s="10">
        <f>COUNTIF('Question Results'!$AB$2:$AB$101,"NOT EVALUATED")</f>
        <v/>
      </c>
      <c r="D60" s="9" t="inlineStr"/>
    </row>
    <row r="61">
      <c r="B61" s="2" t="inlineStr">
        <is>
          <t>Live evaluator: NOT FULLY EVALUATED</t>
        </is>
      </c>
      <c r="C61" s="10">
        <f>COUNTIF('Question Results'!$AB$2:$AB$101,"NOT FULLY EVALUATED")</f>
        <v/>
      </c>
      <c r="D61" s="9" t="inlineStr"/>
    </row>
    <row r="63">
      <c r="B63" s="7" t="inlineStr">
        <is>
          <t>Model configuration</t>
        </is>
      </c>
      <c r="C63" s="7" t="n"/>
      <c r="D63" s="7" t="n"/>
    </row>
    <row r="64">
      <c r="B64" s="2" t="inlineStr">
        <is>
          <t>Base language model</t>
        </is>
      </c>
      <c r="C64" s="8" t="inlineStr">
        <is>
          <t>Qwen/Qwen3-0.6B (Hugging Face model ID), revision c1899de289a04d12100db370d81485cdf75e47ca; no adapter. Runtime-verified: every response reports model 'qwen3-0.6b' / 'Qwen3-0.6B (default)'.</t>
        </is>
      </c>
      <c r="D64" s="9" t="inlineStr"/>
    </row>
    <row r="65">
      <c r="B65" s="2" t="inlineStr">
        <is>
          <t>Provider / runtime</t>
        </is>
      </c>
      <c r="C65" s="8" t="inlineStr">
        <is>
          <t>Local, in-process Hugging Face transformers 5.17.0 + torch 2.14.0, CPU, float32 (configured 'auto'/'auto', resolved at load). No external API or remote endpoint.</t>
        </is>
      </c>
      <c r="D65" s="9" t="inlineStr"/>
    </row>
    <row r="66">
      <c r="B66" s="2" t="inlineStr">
        <is>
          <t>Decoding</t>
        </is>
      </c>
      <c r="C66" s="8" t="inlineStr">
        <is>
          <t>Greedy (do_sample false), thinking off, repetition stop on; adaptive per-question token allowance with a 2,048-token hard ceiling.</t>
        </is>
      </c>
      <c r="D66" s="9" t="inlineStr"/>
    </row>
    <row r="67">
      <c r="B67" s="2" t="inlineStr">
        <is>
          <t>Embedding model</t>
        </is>
      </c>
      <c r="C67" s="8" t="inlineStr">
        <is>
          <t>BAAI/bge-small-en-v1.5, revision 5c38ec7c405ec4b44b94cc5a9bb96e735b38267a, 384 dimensions, CLS pooling, normalized (runtime-verified in the measurement records).</t>
        </is>
      </c>
      <c r="D67" s="9" t="inlineStr"/>
    </row>
    <row r="68">
      <c r="B68" s="2" t="inlineStr">
        <is>
          <t>Embedding model — role in this run</t>
        </is>
      </c>
      <c r="C68" s="8" t="inlineStr">
        <is>
          <t>Used by the live evaluator to align claims with evidence on all 100 answers. The same model backs the semantic-fallback retrieval index (semantic_expanded_v1, 28,882 items), but semantic fallback was invoked on 0 of 100 questions, so all evidence came from lexical retrieval.</t>
        </is>
      </c>
      <c r="D68" s="9" t="inlineStr"/>
    </row>
    <row r="69">
      <c r="B69" s="2" t="inlineStr">
        <is>
          <t>Retrieval / index</t>
        </is>
      </c>
      <c r="C69" s="8" t="inlineStr">
        <is>
          <t>Lexical PostgreSQL retrieval (full-text, definition and identifier lookups) over the read-only regulatory database: eCFR snapshot 2026-09-03 plus FDA guidance. top_k 8 (UI default); grounding gate off (UI default). The database has no FD&amp;C Act (statute) text.</t>
        </is>
      </c>
      <c r="D69" s="9" t="inlineStr"/>
    </row>
    <row r="70">
      <c r="B70" s="2" t="inlineStr">
        <is>
          <t>Evaluator</t>
        </is>
      </c>
      <c r="C70" s="8" t="inlineStr">
        <is>
          <t>Category = question-bank rubric (main benchmark Scoring Rubric) applied against the bank's verified key, AI-assisted (Claude), not SME-signed. Recorded alongside: Regulus live evaluator regulus_live_evidence_assessment_v2 2.0.0 (evidence-based, no reference answer).</t>
        </is>
      </c>
      <c r="D70" s="9" t="inlineStr"/>
    </row>
    <row r="71">
      <c r="B71" s="2" t="inlineStr">
        <is>
          <t>Unresolved uncertainty</t>
        </is>
      </c>
      <c r="C71" s="8" t="inlineStr">
        <is>
          <t>Rubric scores have not been confirmed by an SME. The database's cfr_records.embedding vectors (labelled text-embedding-3-large, provenance UNVERIFIED per docs/embedding_provenance.md) are not queried by the answering pipeline and played no part.</t>
        </is>
      </c>
      <c r="D71" s="9" t="inlineStr"/>
    </row>
    <row r="73">
      <c r="B73" s="6" t="inlineStr">
        <is>
          <t>Category definitions and the rubric-to-category mapping are on Run Metadata.</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100"/>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50" customWidth="1" min="2" max="2"/>
    <col width="70" customWidth="1" min="3" max="3"/>
    <col width="15" customWidth="1" min="4" max="4"/>
    <col width="60" customWidth="1" min="5" max="5"/>
    <col width="60" customWidth="1" min="6" max="6"/>
    <col width="11" customWidth="1" min="7" max="7"/>
    <col width="10" customWidth="1" min="8" max="8"/>
    <col width="10" customWidth="1" min="9" max="9"/>
    <col width="55" customWidth="1" min="10" max="10"/>
    <col width="22" customWidth="1" min="11" max="11"/>
    <col width="10" customWidth="1" min="12" max="12"/>
  </cols>
  <sheetData>
    <row r="1" ht="32" customHeight="1">
      <c r="A1" s="1" t="inlineStr">
        <is>
          <t>Question ID</t>
        </is>
      </c>
      <c r="B1" s="1" t="inlineStr">
        <is>
          <t>Question</t>
        </is>
      </c>
      <c r="C1" s="1" t="inlineStr">
        <is>
          <t>Generated Answer</t>
        </is>
      </c>
      <c r="D1" s="1" t="inlineStr">
        <is>
          <t>Evaluation Status</t>
        </is>
      </c>
      <c r="E1" s="1" t="inlineStr">
        <is>
          <t>Evaluation Explanation</t>
        </is>
      </c>
      <c r="F1" s="1" t="inlineStr">
        <is>
          <t>Reference Answer</t>
        </is>
      </c>
      <c r="G1" s="1" t="inlineStr">
        <is>
          <t>Duration (seconds)</t>
        </is>
      </c>
      <c r="H1" s="1" t="inlineStr">
        <is>
          <t>Input Tokens</t>
        </is>
      </c>
      <c r="I1" s="1" t="inlineStr">
        <is>
          <t>Output Tokens</t>
        </is>
      </c>
      <c r="J1" s="1" t="inlineStr">
        <is>
          <t>Recommended Review Action</t>
        </is>
      </c>
      <c r="K1" s="1" t="inlineStr">
        <is>
          <t>Delivered Answer Type</t>
        </is>
      </c>
      <c r="L1" s="1" t="inlineStr">
        <is>
          <t>Part (Stratum)</t>
        </is>
      </c>
    </row>
    <row r="2">
      <c r="A2" s="2" t="inlineStr">
        <is>
          <t>COS-701.13-Q3</t>
        </is>
      </c>
      <c r="B2" s="2" t="inlineStr">
        <is>
          <t>Our aerosol hair spray: do we declare the propellant in net quantity, and on what basis?</t>
        </is>
      </c>
      <c r="C2" s="2" t="inlineStr">
        <is>
          <t>The aerosol hair spray must be declared the net quantity of contents, and the quantity should be presented in whole numbers, not with a decimal point that is followed by a trailing zero (e.g., 4 mg, not 4.0 mg). This is based on FDA guidance [1]. The net quantity declaration must also state the quantity of the contents that will be expelled when the instructions for use are followed, provided that the contents are packed under pressure. The propellant is included in the net quantity declaration, as required by FDA regulation [3].</t>
        </is>
      </c>
      <c r="D2" s="2" t="inlineStr">
        <is>
          <t>PARTIALLY PASS</t>
        </is>
      </c>
      <c r="E2" s="2" t="inlineStr">
        <is>
          <t>Substantively correct on the key point: for a pressurized container, declare the quantity expelled when used as directed, and the propellant is included (matches 701.13(g)(1)). But the statement was drawn from the food rule 101.7(g) and is cited to 21 CFR 700.14(b), a vinyl-chloride provision - a wrong citation - and 701.13 is never named. It also adds an unrelated drug-label 'no trailing zero' recommendation, attributed to guidance.</t>
        </is>
      </c>
      <c r="F2" s="2" t="inlineStr">
        <is>
          <t>§ 701.13(g): the declaration must accurately reveal the quantity of cosmetic in the package, exclusive of wrappers and other packing material. (g)(1): for a pressurized container, state the net quantity of contents that will be expelled when the instructions for use are followed; the propellant is included in the net quantity declaration.</t>
        </is>
      </c>
      <c r="G2" s="3" t="n">
        <v>11.955</v>
      </c>
      <c r="H2" s="2" t="n">
        <v>1386</v>
      </c>
      <c r="I2" s="2" t="n">
        <v>122</v>
      </c>
      <c r="J2" s="2" t="inlineStr">
        <is>
          <t>Wrong citation: correct rule cited to 700.14(b); 701.13(g)(1) not retrieved (food analogue 101.7(g) used). Review citation re-pointing and retrieval of Part 701.</t>
        </is>
      </c>
      <c r="K2" s="2" t="inlineStr">
        <is>
          <t>Generated answer</t>
        </is>
      </c>
      <c r="L2" s="2" t="inlineStr">
        <is>
          <t>701</t>
        </is>
      </c>
    </row>
    <row r="3">
      <c r="A3" s="2" t="inlineStr">
        <is>
          <t>COS-710.4-Q1</t>
        </is>
      </c>
      <c r="B3" s="2" t="inlineStr">
        <is>
          <t>What information does Form FD-2511 ask for under § 710.4?</t>
        </is>
      </c>
      <c r="C3" s="2" t="inlineStr">
        <is>
          <t>Form FD-2511 requests information on the name and address of the cosmetic product establishment, including post office ZIP code; all business trading names used by the establishment; and the type of business (manufacturer and/or packer). [1]</t>
        </is>
      </c>
      <c r="D3" s="2" t="inlineStr">
        <is>
          <t>PARTIALLY PASS</t>
        </is>
      </c>
      <c r="E3" s="2" t="inlineStr">
        <is>
          <t>Correct for 710.4 (name and address with ZIP, all trading names, type of business), correctly cited. Omits the key's 700.3(j) element that the information is given separately for each establishment.</t>
        </is>
      </c>
      <c r="F3" s="2" t="inlineStr">
        <is>
          <t>§ 710.4: the name and address of the establishment, including ZIP code; all business trading names used by the establishment; and the type of business (manufacturer and/or packer). Information is given separately for each establishment as defined in § 700.3(j) (a place of business where cosmetic products are manufactured or packaged).</t>
        </is>
      </c>
      <c r="G3" s="3" t="n">
        <v>4.673</v>
      </c>
      <c r="H3" s="2" t="n">
        <v>692</v>
      </c>
      <c r="I3" s="2" t="n">
        <v>51</v>
      </c>
      <c r="J3" s="2" t="inlineStr">
        <is>
          <t>Minor omission: 700.3(j) per-establishment element not stated (700.3 not retrieved).</t>
        </is>
      </c>
      <c r="K3" s="2" t="inlineStr">
        <is>
          <t>Generated answer</t>
        </is>
      </c>
      <c r="L3" s="2" t="inlineStr">
        <is>
          <t>710</t>
        </is>
      </c>
    </row>
    <row r="4">
      <c r="A4" s="2" t="inlineStr">
        <is>
          <t>COS-70.3-Q1</t>
        </is>
      </c>
      <c r="B4" s="2" t="inlineStr">
        <is>
          <t>Our shimmer body lotion uses mica coated with iron oxides, and our lip scrub has cocoa powder that tints it brown. Are these 'color additives' in FDA's sense?</t>
        </is>
      </c>
      <c r="C4" s="2" t="inlineStr">
        <is>
          <t>The available regulatory sources do not provide enough information to answer this question. [1]  
The requested provision requires that "color additives" are defined as substances capable of imparting a color to a food, drug, or cosmetic, and that they are not exempt under section 201(t) of the act. [1]  
The requested provision also requires that "color additives" must be made by a process of synthesis or similar artifice, or extracted, isolated, or otherwise derived, from a vegetable, animal, mineral, or other source. [1]  
The requested provision further requires that "color additives" must be capable of imparting a color to a container for foods, drugs, or cosmetics, unless the customary or reasonably foreseeable handling or use of the container may reasonably be expected to result in the transmittal of the color to the contents of the package or any part thereof. [1]</t>
        </is>
      </c>
      <c r="D4" s="2" t="inlineStr">
        <is>
          <t>PARTIALLY FAIL</t>
        </is>
      </c>
      <c r="E4" s="2" t="inlineStr">
        <is>
          <t>Partly correct. Restates parts of the 70.3(f) color-additive definition with a correct citation, but opens by saying the sources cannot answer, never applies the definition to the mica/iron-oxide shimmer or the cocoa tint (key: colorants intentionally used to color are color additives), turns the 70.3(f) container sentence into a requirement ('must be capable of imparting a color to a container'), and omits the 70.3(g) 'clearly unimportant' exemption test.</t>
        </is>
      </c>
      <c r="F4" s="2" t="inlineStr">
        <is>
          <t>70.3(f): a color additive is any dye, pigment or other substance, synthesized or derived from a vegetable, animal, mineral or other source, capable of imparting color when applied to a cosmetic or the body. Colorants intentionally used to color are color additives. Under (g), a material used solely for non-coloring purposes is exempt only if any color imparted is clearly unimportant to appearance, value, marketability or consumer acceptability.</t>
        </is>
      </c>
      <c r="G4" s="3" t="n">
        <v>29.509</v>
      </c>
      <c r="H4" s="2" t="n">
        <v>1430</v>
      </c>
      <c r="I4" s="2" t="n">
        <v>186</v>
      </c>
      <c r="J4" s="2" t="inlineStr">
        <is>
          <t>Incomplete and partly misstated answer: the definition was retrieved (70.3(f) in evidence) but not applied to the user's products; 70.3(g) missing and the container clause misread. Review answer generation for applicability questions.</t>
        </is>
      </c>
      <c r="K4" s="2" t="inlineStr">
        <is>
          <t>Generated answer</t>
        </is>
      </c>
      <c r="L4" s="2" t="inlineStr">
        <is>
          <t>70</t>
        </is>
      </c>
    </row>
    <row r="5">
      <c r="A5" s="2" t="inlineStr">
        <is>
          <t>COS-70.3-Q3</t>
        </is>
      </c>
      <c r="B5" s="2" t="inlineStr">
        <is>
          <t>We make a brow tint, a lip gloss and a coal-tar-based permanent hair dye. How do FDA's color additive definitions treat 'area of the eye', 'externally applied' and the hair dye exemption?</t>
        </is>
      </c>
      <c r="C5" s="2" t="inlineStr">
        <is>
          <t>The FDA's color additive definitions treat "area of the eye" as defined in 21 CFR 70.3(s), which includes the supra-orbital and infra-orbital ridges, the eyelids, and eyelashes. "Externally applied" is defined in 21 CFR 70.3(v) as drugs or cosmetics applied to external parts of the body, excluding the lips and mucous membranes. The hair dye exemption in section 601(a) of the act applies to coal tar hair dyes intended for altering hair color, which are exempt if they contain color additives derived from coal tar and bear a caution label. The exemption does not apply to other hair dyes or ingredients not derived from coal tar. [1][4]</t>
        </is>
      </c>
      <c r="D5" s="2" t="inlineStr">
        <is>
          <t>PARTIALLY FAIL</t>
        </is>
      </c>
      <c r="E5" s="2" t="inlineStr">
        <is>
          <t>Partly correct. Correctly points to 70.3(s), (v) and (u) and states the lips/mucous-membrane exclusion from 'externally applied'. But the eye-area summary omits the eyebrow and skin below it (the key point that a brow tint is eye-area use), and the coal-tar hair-dye exemption is reduced to 'bear a caution label', dropping the patch-test-directions condition - an oversimplified conditional requirement.</t>
        </is>
      </c>
      <c r="F5" s="2" t="inlineStr">
        <is>
          <t>70.3(s): area of the eye includes the eyebrow, skin below it, eyelids, eyelashes, conjunctival sac, eyeball and soft areolar tissue within the infra-orbital ridge, so the brow tint is eye-area. (v): externally applied cosmetics exclude lips and mucous membranes, so lip gloss is not 'external'. (u): the 601(a) exemption covers coal tar hair dyes for hair, conditioned on a conspicuous statutory caution and patch-test directions.</t>
        </is>
      </c>
      <c r="G5" s="3" t="n">
        <v>29.209</v>
      </c>
      <c r="H5" s="2" t="n">
        <v>1364</v>
      </c>
      <c r="I5" s="2" t="n">
        <v>159</v>
      </c>
      <c r="J5" s="2" t="inlineStr">
        <is>
          <t>Omission in a conditional requirement: the 601(a) hair-dye exemption conditions (caution statement AND patch-test directions) and the eyebrow element of 'area of the eye' were in the retrieved evidence but not stated.</t>
        </is>
      </c>
      <c r="K5" s="2" t="inlineStr">
        <is>
          <t>Generated answer</t>
        </is>
      </c>
      <c r="L5" s="2" t="inlineStr">
        <is>
          <t>70</t>
        </is>
      </c>
    </row>
    <row r="6">
      <c r="A6" s="2" t="inlineStr">
        <is>
          <t>COS-70.50-Q2</t>
        </is>
      </c>
      <c r="B6" s="2" t="inlineStr">
        <is>
          <t>Our skin-only body paint colorant caused tumors in a skin-painting study. What does 70.50 say about external cosmetic use?</t>
        </is>
      </c>
      <c r="C6" s="2" t="inlineStr">
        <is>
          <t>[1] 70.50(a) states that color additives that may be ingested are subject to the cancer clause if the data establish that the additive has induced cancer when ingested, and if the data as a whole establish that the additive is safe under conditions specified in the applicable regulation [1]. 70.50(c) states that color additives for use as an ingredient of feed for animals raised for food production must satisfy the requirements of subpart E of part 500 of this chapter.
21 CFR 70.50 (eCFR, binding, verbatim): (a) Color additives that may be ingested. Whenever (1) the scientific data before the Commissioner (either the reports from the scientific literature or the results of biological testing) suggest the possibility that the color additive including its components or impurities has induced cancer when ingested by man or animal; or (2) tests which are appropriate for the evaluation of the safety of additives in food suggest that the color additive, including its components or impurities, induces cancer in man or animal, the Commissioner shall determine whether, based on the judgment of appropriately qualified scientists, cancer has been induced and whether the color additive, including its components or impurities, was the causative substance. If it is his judgment that the data do not establish these facts, the cancer clause is not applicable; and if the data considered as a whole establish that the color additive will be safe under the conditions that can be specified in the applicable regulation, it may be listed for such use. But if in the judgment of the Commissioner, based on information from qualified scientists, cancer has been induced, no regulation may issue which permits its use [1]. (b) Color additives that will not be ingested. Whenever the scientific data before the Commissioner suggest the possibility that the color additive, including its components or impurities, has induced cancer in man or animals by routes other than ingestion, the Commissioner shall determine whether, based on the judgment of appropriately qualified scientists, the test suggesting the possibility of carcinogenesis is appropriate for the evaluation of the color additive for a use which does not involve ingestion, cancer has been induced, and the color additive, including its components or impurities, was the causative substance. If it is his judgment that the data do not establish these facts, the cancer clause is not applicable to preclude external drug and cosmetic uses, and if the data as a whole establish that the color additive will be safe under conditions that can be specified in the regulations, it may be listed for such use. But if, in the judgment of the Commissioner, based on information from qualified scientists, the test is an appropriate one for the consideration of safety for the proposed external use, and cancer has been induced by the color additive, including its components or impurities, no regulation may issue which permits its use in external drugs and cosmetics [2]. (c) Color additives for use as an ingredient of feed for animals that are raised for food production. Color additives that are an ingredient of the feed for animals raised for food production and that have the potential to contaminate human food with residues whose consumption could present a risk of cancer to people must satisfy the requirements of subpart E of part 500 of this chapter [3].</t>
        </is>
      </c>
      <c r="D6" s="2" t="inlineStr">
        <is>
          <t>PARTIALLY FAIL</t>
        </is>
      </c>
      <c r="E6" s="2" t="inlineStr">
        <is>
          <t>Partly correct. The repair appended the verbatim text of 21 CFR 70.50(a)-(c), which contains the key's 70.50(b) rule for non-ingested uses with correct citations. But the model's own summary misstates 70.50(a) (it says ingested additives are subject to the cancer clause if the data establish safety) and never addresses external use, which is what was asked; the user must find the answer in the quoted text.</t>
        </is>
      </c>
      <c r="F6" s="2" t="inlineStr">
        <is>
          <t>70.50(b): where data suggest cancer by routes other than ingestion, the Commissioner decides whether the test suits the proposed external use, whether cancer was induced and whether the additive caused it. If not established, external drug and cosmetic uses are not precluded and may be listed if data establish safety. If cancer is induced by an appropriate test, no regulation may permit use in external drugs and cosmetics.</t>
        </is>
      </c>
      <c r="G6" s="3" t="n">
        <v>22.124</v>
      </c>
      <c r="H6" s="2" t="n">
        <v>1308</v>
      </c>
      <c r="I6" s="2" t="n">
        <v>172</v>
      </c>
      <c r="J6" s="2" t="inlineStr">
        <is>
          <t>Misleading summary above a correct verbatim quote: the model summarised the wrong paragraph (a) and misstated it while (b) was in evidence. Review the summary-plus-quote repair output.</t>
        </is>
      </c>
      <c r="K6" s="2" t="inlineStr">
        <is>
          <t>Generated answer</t>
        </is>
      </c>
      <c r="L6" s="2" t="inlineStr">
        <is>
          <t>70</t>
        </is>
      </c>
    </row>
    <row r="7">
      <c r="A7" s="2" t="inlineStr">
        <is>
          <t>COS-71.15-Q2</t>
        </is>
      </c>
      <c r="B7" s="2" t="inlineStr">
        <is>
          <t>Which parts of our color additive petition stay non-public: our manufacturing process, sales figures, and formula?</t>
        </is>
      </c>
      <c r="C7" s="2" t="inlineStr">
        <is>
          <t>The requested provisions require that the manufacturing process, sales figures, and formula of the color additive petition remain non-public. The evidence supports this by stating that the petition process for color additives includes information similar to that submitted in food additive petitions, and that the data and information submitted establish safety and suitability. The sources cited are [1].</t>
        </is>
      </c>
      <c r="D7" s="2" t="inlineStr">
        <is>
          <t>PARTIALLY FAIL</t>
        </is>
      </c>
      <c r="E7" s="2" t="inlineStr">
        <is>
          <t>Conclusion directionally right (the three categories stay non-public) but unsupported and oversimplified: it cites an unrelated manufacturing-change guidance instead of 71.15, omits the conditions (unless previously disclosed under 20.81, or relating to an abandoned product, and the aggregated-compilation exception for sales data). 71.15 was not in the retrieved evidence.</t>
        </is>
      </c>
      <c r="F7" s="2" t="inlineStr">
        <is>
          <t>Under 71.15(b) these are not available unless previously disclosed to the public under § 20.81 or they relate to an abandoned product or ingredient and no longer qualify as trade secret or confidential information: (1) manufacturing methods or processes, including quality control procedures; (2) production, sales, distribution and similar data, except aggregated compilations that reveal no nonpublic information; (3) quantitative or semiquantitative formulas.</t>
        </is>
      </c>
      <c r="G7" s="3" t="n">
        <v>15.556</v>
      </c>
      <c r="H7" s="2" t="n">
        <v>1333</v>
      </c>
      <c r="I7" s="2" t="n">
        <v>97</v>
      </c>
      <c r="J7" s="2" t="inlineStr">
        <is>
          <t>Unsupported claim with wrong source: right conclusion, wrong citation, conditions omitted; 71.15 not retrieved. Review retrieval for confidentiality questions.</t>
        </is>
      </c>
      <c r="K7" s="2" t="inlineStr">
        <is>
          <t>Generated answer</t>
        </is>
      </c>
      <c r="L7" s="2" t="inlineStr">
        <is>
          <t>71</t>
        </is>
      </c>
    </row>
    <row r="8">
      <c r="A8" s="2" t="inlineStr">
        <is>
          <t>COS-80.31-Q1</t>
        </is>
      </c>
      <c r="B8" s="2" t="inlineStr">
        <is>
          <t>What must FDA determine before it certifies our batch, and what does the certificate show?</t>
        </is>
      </c>
      <c r="C8" s="2" t="inlineStr">
        <is>
          <t>To determine whether a batch must be certified, the FDA requires that the batch must comply with the regulations in this chapter, and the person who submitted the request must receive a certificate showing the lot number assigned to the batch and that the batch is a certified batch. The certificate must also show the batch's lot number and that it is subject to the terms, conditions, and restrictions prescribed by parts 74, 81, and 82 of this chapter.  
The certificate must also show the batch's lot number and that it is a certified batch. [3][4]</t>
        </is>
      </c>
      <c r="D8" s="2" t="inlineStr">
        <is>
          <t>PARTIALLY FAIL</t>
        </is>
      </c>
      <c r="E8" s="2" t="inlineStr">
        <is>
          <t>Partly correct. States that the batch must comply with the regulations and that the certificate shows the lot number and certified status (80.31(a)(3) and certificate content, correctly cited). Omits two of the three findings FDA must make - no untrue statement of material fact in the 80.21 request, and conformance to specifications - and repeats itself; it also frames the opening as 'to determine whether a batch must be certified'.</t>
        </is>
      </c>
      <c r="F8" s="2" t="inlineStr">
        <is>
          <t>§ 80.31(a): after any investigation the Commissioner considers necessary, he must find that (1) the § 80.21 request appears to contain no untrue statement of a material fact, (2) the color additive meets the prescribed specifications and other conditions, and (3) the batch otherwise appears to comply with the regulations. The certificate shows the batch's lot number and states that the batch is certified.</t>
        </is>
      </c>
      <c r="G8" s="3" t="n">
        <v>13.85</v>
      </c>
      <c r="H8" s="2" t="n">
        <v>1382</v>
      </c>
      <c r="I8" s="2" t="n">
        <v>143</v>
      </c>
      <c r="J8" s="2" t="inlineStr">
        <is>
          <t>Incomplete answer: 80.31(a)(1)-(2) were in evidence but not stated. Note the live evaluator scored this PASS 100, which the rubric does not support.</t>
        </is>
      </c>
      <c r="K8" s="2" t="inlineStr">
        <is>
          <t>Generated answer</t>
        </is>
      </c>
      <c r="L8" s="2" t="inlineStr">
        <is>
          <t>80</t>
        </is>
      </c>
    </row>
    <row r="9">
      <c r="A9" s="2" t="inlineStr">
        <is>
          <t>COS-82.101-Q1</t>
        </is>
      </c>
      <c r="B9" s="2" t="inlineStr">
        <is>
          <t>We supply FD&amp;C Blue No. 1 to cosmetic makers. Under Part 82, what specifications must a batch meet for certification?</t>
        </is>
      </c>
      <c r="C9" s="2" t="inlineStr">
        <is>
          <t>Under Part 82, a batch must conform to the requirements of § 82.1104 for certification of D&amp;C Blue No. 4, unless otherwise specified. A batch of a straight color listed in subpart B, C, or D may be certified for use in drugs and cosmetics if it conforms to the requirements of § 82.5 and the specifications set forth in this subpart. A batch of a mixture containing no straight color listed in subpart C or D may be certified for use in food, drugs, and cosmetics if it conforms to the requirements of § 82.5 and the specifications in this subpart. The available regulatory sources do not provide enough information to answer this question. [1]
Evidence limit: not all of the retrieved text of 21 CFR part 82 fit in the evidence supplied for this answer (15 paragraphs left out). The answer above does not cover that text; consult the full provisions.</t>
        </is>
      </c>
      <c r="D9" s="2" t="inlineStr">
        <is>
          <t>PARTIALLY FAIL</t>
        </is>
      </c>
      <c r="E9" s="2" t="inlineStr">
        <is>
          <t>Partly correct. Correctly says a batch must meet 82.5 and the subpart's specifications, but points to 82.1104 (D&amp;C Blue No. 4) for FD&amp;C Blue No. 1, misstates subpart B certification as 'drugs and cosmetics' (82.50 allows food, drugs and cosmetics), omits the 74.101(a)(1)/(b) identity cross-reference and the 82.5 limits, and ends with 'not enough information'. Cited 82.1104 is the wrong section. 82.101 and 82.50 were both in the retrieved evidence.</t>
        </is>
      </c>
      <c r="F9" s="2" t="inlineStr">
        <is>
          <t>§ 82.101 requires FD&amp;C Blue No. 1 to conform in identity and specifications to § 74.101(a)(1) and (b). Under § 82.50 a subpart B batch may be certified if it also meets § 82.5 (lead not more than 0.001 percent, arsenic as As2O3 not more than 0.00014 percent, other heavy metals not more than trace).</t>
        </is>
      </c>
      <c r="G9" s="3" t="n">
        <v>30.909</v>
      </c>
      <c r="H9" s="2" t="n">
        <v>3065</v>
      </c>
      <c r="I9" s="2" t="n">
        <v>153</v>
      </c>
      <c r="J9" s="2" t="inlineStr">
        <is>
          <t>Wrong section cited with the right evidence present (82.101, 82.50 retrieved; part-level evidence was cut by the budget). Review citation selection among sibling Part 82 sections.</t>
        </is>
      </c>
      <c r="K9" s="2" t="inlineStr">
        <is>
          <t>Generated answer</t>
        </is>
      </c>
      <c r="L9" s="2" t="inlineStr">
        <is>
          <t>82</t>
        </is>
      </c>
    </row>
    <row r="10">
      <c r="A10" s="2" t="inlineStr">
        <is>
          <t>COS-82.1307-Q1</t>
        </is>
      </c>
      <c r="B10" s="2" t="inlineStr">
        <is>
          <t>We make an oral drug tablet colored with both D&amp;C Red No. 6 and D&amp;C Red No. 7. What does Part 82 limit, and does 82.1307 address our lipstick too?</t>
        </is>
      </c>
      <c r="C10" s="2" t="inlineStr">
        <is>
          <t>[1] 21 CFR 82.1307(a) [1]: The color additive D&amp;C Red No. 7 shall conform in identity and specifications to the requirements of § 74.1307 (a)(1) and (b) of this chapter [6]. 21 CFR 82.1307(b) [6]: The color additive D&amp;C Red No. 7 may be safely used for coloring drugs such that the combined total of D&amp;C Red No. 6 and D&amp;C Red No. 7 does not exceed 5 milligrams per daily dose of the drug [2]. 21 CFR 82.5 [2]: It is free from all impurities (other than those named in paragraph (b) of this section or in the specifications set forth in such paragraph for such color) to the extent that such impurities can be avoided by good manufacturing practice [3]. 21 CFR 82.5(a) [3]: It conforms to the following specifications: [4] 21 CFR 82.5(b) [4]: Each lake made as prescribed in paragraph (a) of this section shall be considered to be a straight color and to be listed therein under the name which is formed as follows: [5] 21 CFR 82.2051(a)(1) [5]: A batch of a straight color listed in this subpart may be certified, in accordance with the provisions of this part, for use only in drugs and cosmetics, if such batch conforms to the requirements of § 82.5 and to the specifications set forth in this subpart for such color [7]. 21 CFR 82.2051(a)(2) [7]: (2) Specifications [8]. 21 CFR 82.2051(b) [8]: Each lake made as prescribed in paragraph (a) of this section shall be considered to be a straight color and to be listed therein under the name which is formed as follows: [9] 21 CFR 82.1051(a)(1) [9]: (a)(1) General. Any lake, other than those listed in subpart B, made by extending on a substratum of alumina, blanc fixe, gloss white, clay, titanium dioxide, zinc oxide, talc, rosin, aluminum benzoate, calcium carbonate, or any combination of two or more of these, (i) one of the straight colors (except lakes) listed in subpart B or hereinbefore listed in this subpart, which color is a salt in which is combined the basic radical sodium, potassium, aluminum, barium, calcium, strontium, or zirconium; or (ii) a salt prepared from one of the straight colors (except lakes) listed in subpart B, or hereinbefore listed in this subpart, by combining such color with the basic radical sodium, potassium, aluminum, barium, calcium, strontium, or zirconium [9]. 21 CFR 82.1051(a)(2) [10]: (2) Specifications [11]. 21 CFR 82.51(a)(1) [15]: (a)(1) General. Any lake made by extending on a substratum of alumina, a salt prepared from one of the certified water-soluble straight colors hereinbefore listed in this subpart by combining such color with the basic radical aluminum or calcium [15]. 21 CFR 82.6(a) [16]: A batch of a mixture which contains no straight color listed in subpart C or D may be certified for use in food, drugs and cosmetics, if: [16] 21 CFR 82.101 [17]: The color additive FD&amp;C Blue No. 1 shall conform in identity and specifications to the requirements of § 74.101(a)(1) and (b) of this chapter [17]. 21 CFR 82.102 [18]: The color additive FD&amp;C Blue No. 2 shall conform in identity and specifications to the requirements of § 74.102(a)(1) and (b) of this chapter [18]. 21 CFR 82.1306(a) [19]: The color additive D&amp;C Red No. 6 shall conform in identity and specifications to the requirements of § 74.1306 (a)(1) and (b) of this chapter [19]. 21 CFR 82.1321 [20]: The color additive D&amp;C Red No. 21 shall conform in identity and specifications to the requirements of § 74.1321 (a)(1) and (b) of this chapter [20]. 21 CFR 82.1322 [21]: The color additive D&amp;C Red No. 22 shall conform in identity and specifications to the requirements of § 74.1322 (a)(1) and (b) of this chapter.
21 CFR 82.1307 (eCFR, binding, verbatim): (a) The color additive D&amp;C Red No. 7 shall conform in identity and specifications to the requirements of § 74.1307 (a)(1) and (b) of this chapter [1]. (b) The color additive D&amp;C Red No. 7 may be safely used for coloring drugs such that the combined total of D&amp;C Red No. 6 and D&amp;C Red No. 7 does not exceed 5 milligrams per daily dose of the drug [6].
21 CFR 82.1334 (eCFR, binding, verbatim): Calcium salt of 3-hydroxy-4-[(1-sulfo-2 -naphthalenyl)azol-2-naphthalenecarboxylic acid [24].
Evidence limit: not all of the retrieved text of 21 CFR part 82 fit in the evidence supplied for this answer (22 paragraphs left out). The answer above does not cover that text; consult the full provisions.</t>
        </is>
      </c>
      <c r="D10" s="2" t="inlineStr">
        <is>
          <t>PARTIALLY FAIL</t>
        </is>
      </c>
      <c r="E10" s="2" t="inlineStr">
        <is>
          <t>Partly correct. Contains 82.1307(a) and (b) correctly (identity per 74.1307; combined D&amp;C Red No. 6 + No. 7 not over 5 mg per daily dose), repeated verbatim. But it is mostly an unrelated dump of Part 82 text with misattributed paragraphs (e.g. lake-naming text labelled 82.5(b)), and never answers whether 82.1307 addresses the lipstick (key: it does not address cosmetic use).</t>
        </is>
      </c>
      <c r="F10" s="2" t="inlineStr">
        <is>
          <t>82.1307(a): identity and specifications per § 74.1307(a)(1) and (b). (b): may be safely used for coloring drugs such that the combined total of D&amp;C Red No. 6 and D&amp;C Red No. 7 does not exceed 5 milligrams per daily dose of the drug. 82.1307 does not address cosmetic use.</t>
        </is>
      </c>
      <c r="G10" s="3" t="n">
        <v>235.924</v>
      </c>
      <c r="H10" s="2" t="n">
        <v>3469</v>
      </c>
      <c r="I10" s="2" t="n">
        <v>1418</v>
      </c>
      <c r="J10" s="2" t="inlineStr">
        <is>
          <t>Correct core buried in a misattributed text dump; lipstick sub-question unanswered. Review the verbatim/synthesis repair that produced the dump.</t>
        </is>
      </c>
      <c r="K10" s="2" t="inlineStr">
        <is>
          <t>Generated answer</t>
        </is>
      </c>
      <c r="L10" s="2" t="inlineStr">
        <is>
          <t>82</t>
        </is>
      </c>
    </row>
    <row r="11">
      <c r="A11" s="2" t="inlineStr">
        <is>
          <t>COS-82.1327-Q1</t>
        </is>
      </c>
      <c r="B11" s="2" t="inlineStr">
        <is>
          <t>We're a startup making nail polish with D&amp;C Red No. 27. What does 82.1327 require, and is there a use limit?</t>
        </is>
      </c>
      <c r="C11" s="2" t="inlineStr">
        <is>
          <t>[1] 21 CFR 82.1327 requires that D&amp;C Red No. 27 shall conform in identity and specifications to the requirements of § 74.1327 (a)(1) and (b) of this chapter.  
[1] 21 CFR 82.1327 also requires that the use limit for D&amp;C Red No. 27 is not exceeded.</t>
        </is>
      </c>
      <c r="D11" s="2" t="inlineStr">
        <is>
          <t>PARTIALLY FAIL</t>
        </is>
      </c>
      <c r="E11" s="2" t="inlineStr">
        <is>
          <t>Partly correct. The first sentence states 82.1327 correctly (conform to 74.1327(a)(1) and (b)). The second sentence says 82.1327 'also requires that the use limit ... is not exceeded', implying a limit that does not exist (key: no use restriction or quantitative limit). 82.1050 is not mentioned. Fabricated = 1 (bank Instructions rule 3, invented requirement): Invented use limit attributed to 82.1327.</t>
        </is>
      </c>
      <c r="F11" s="2" t="inlineStr">
        <is>
          <t>21 CFR 82.1327 contains one sentence: D&amp;C Red No. 27 shall conform in identity and specifications to § 74.1327(a)(1) and (b). It states no use restriction or quantitative limit. Under 82.1050 a batch of a straight color listed in Subpart C may be certified for use only in drugs and cosmetics if it conforms to 82.5 and the subpart specifications.</t>
        </is>
      </c>
      <c r="G11" s="3" t="n">
        <v>7.298</v>
      </c>
      <c r="H11" s="2" t="n">
        <v>696</v>
      </c>
      <c r="I11" s="2" t="n">
        <v>93</v>
      </c>
      <c r="J11" s="2" t="inlineStr">
        <is>
          <t>Misleading added claim (a non-existent use limit) after a correct sentence; 82.1050 not retrieved.</t>
        </is>
      </c>
      <c r="K11" s="2" t="inlineStr">
        <is>
          <t>Generated answer</t>
        </is>
      </c>
      <c r="L11" s="2" t="inlineStr">
        <is>
          <t>82</t>
        </is>
      </c>
    </row>
    <row r="12">
      <c r="A12" s="2" t="inlineStr">
        <is>
          <t>COS-700.13-Q2</t>
        </is>
      </c>
      <c r="B12" s="2" t="inlineStr">
        <is>
          <t>We plan to import a skin-lightening cream containing mercury that is marketed for freckles and age spots. How does FDA treat it?</t>
        </is>
      </c>
      <c r="C12" s="2" t="inlineStr">
        <is>
          <t>The FDA treats the skin-lightening cream containing mercury as a drug or a cosmetic preparation, as mercury compounds are recognized as skin-bleaching agents or as preservatives in cosmetics. The VQIP importer program allows the manufacturer or owner to be the importer of record, and the VQIP importer may also be the CBP importer. The use of mercury compounds in cosmetics is covered under 21 CFR 700.13(a), which states that such preparations are treated as drugs or cosmetics [1] [4].</t>
        </is>
      </c>
      <c r="D12" s="2" t="inlineStr">
        <is>
          <t>PARTIALLY FAIL</t>
        </is>
      </c>
      <c r="E12" s="2" t="inlineStr">
        <is>
          <t>Partly correct. Names 700.13(a) and says the product is treated as a drug 'or' a cosmetic (the key: drug AS WELL AS cosmetic), then adds irrelevant importer-program (VQIP) text. Omits the core consequences in 700.13(d): misbranded under 502, possibly an unapproved new drug, and adulterated as a cosmetic unless (d)(2)(i)/(ii) is met. The [n] markers point to a VQIP guidance and 720.4, not 700.13. 700.13 was in the retrieved evidence.</t>
        </is>
      </c>
      <c r="F12" s="2" t="inlineStr">
        <is>
          <t>§ 700.13(a): such products are regarded as drugs as well as cosmetics. (d)(1): mercury-containing skin-bleaching, beauty or facial products are misbranded under sections 502(a), 502(f)(1) and (2), and 502(j), and may be unapproved new drugs under section 505; those shipped after January 5, 1973 are subject to regulatory action. (d)(2): as a cosmetic it is adulterated unless (d)(2)(i) or (ii) is met.</t>
        </is>
      </c>
      <c r="G12" s="3" t="n">
        <v>14.27</v>
      </c>
      <c r="H12" s="2" t="n">
        <v>1415</v>
      </c>
      <c r="I12" s="2" t="n">
        <v>129</v>
      </c>
      <c r="J12" s="2" t="inlineStr">
        <is>
          <t>Incomplete and partly misstated: 700.13(d) consequences missing; markers point to wrong sources. Review citation alignment and completeness.</t>
        </is>
      </c>
      <c r="K12" s="2" t="inlineStr">
        <is>
          <t>Generated answer</t>
        </is>
      </c>
      <c r="L12" s="2" t="inlineStr">
        <is>
          <t>700</t>
        </is>
      </c>
    </row>
    <row r="13">
      <c r="A13" s="2" t="inlineStr">
        <is>
          <t>COS-701.3-Q4</t>
        </is>
      </c>
      <c r="B13" s="2" t="inlineStr">
        <is>
          <t>We sell only by direct mail, and a supplier shortage forces us to swap an emollient. How do we handle the ingredient declaration?</t>
        </is>
      </c>
      <c r="C13" s="2" t="inlineStr">
        <is>
          <t>The FDA requires that when there is a shortage of a cosmetic ingredient, suppliers must declare alternatives to affected ingredients. This declaration can be made either immediately following the normally used ingredient or after all normally used ingredients are declared, with the alternative ingredients listed in descending order or according to provisions (f) of the regulation. The sources that support this are [1][3].</t>
        </is>
      </c>
      <c r="D13" s="2" t="inlineStr">
        <is>
          <t>PARTIALLY FAIL</t>
        </is>
      </c>
      <c r="E13" s="2" t="inlineStr">
        <is>
          <t>Partly correct. Gives the 701.3(m) idea that alternative ingredients may be declared after the usual ingredient or after all ingredients (correctly cited to 701.3(m)), but assigns the duty to 'suppliers', omits the required 'or' / 'may also contain' wording, and says nothing about 701.3(r) - the direct-mail declaration option that is half of the question. It also cites an animal-food supply-chain guidance.</t>
        </is>
      </c>
      <c r="F13" s="2" t="inlineStr">
        <is>
          <t>§ 701.3(r): direct-mail sellers may place the declaration in accompanying labeling or a mail-order catalog or brochure in letters at least 1/16 inch, if conspicuous per product, with a 3/16-inch notice visible on opening (location, copy mailed on request, distributor's name and place of business), and copies are mailed promptly. (m): list alternatives after the usual ingredient with 'or', or at the end with 'may also contain.'</t>
        </is>
      </c>
      <c r="G13" s="3" t="n">
        <v>8.06</v>
      </c>
      <c r="H13" s="2" t="n">
        <v>1347</v>
      </c>
      <c r="I13" s="2" t="n">
        <v>74</v>
      </c>
      <c r="J13" s="2" t="inlineStr">
        <is>
          <t>Incomplete: 701.3(r) (direct-mail sellers) missing; a guidance citation added. Review completeness on two-part questions.</t>
        </is>
      </c>
      <c r="K13" s="2" t="inlineStr">
        <is>
          <t>Generated answer</t>
        </is>
      </c>
      <c r="L13" s="2" t="inlineStr">
        <is>
          <t>701</t>
        </is>
      </c>
    </row>
    <row r="14">
      <c r="A14" s="2" t="inlineStr">
        <is>
          <t>COS-701.13-Q1</t>
        </is>
      </c>
      <c r="B14" s="2" t="inlineStr">
        <is>
          <t>Our 8 fl oz shampoo bottle has a 12-square-inch principal display panel. How must we declare net contents, and in what type size and position?</t>
        </is>
      </c>
      <c r="C14" s="2" t="inlineStr">
        <is>
          <t>The FDA requires that net contents be declared in a type size established in relation to the area of the principal display panel of the package. This declaration must be uniform for all packages of substantially the same size.</t>
        </is>
      </c>
      <c r="D14" s="2" t="inlineStr">
        <is>
          <t>PARTIALLY FAIL</t>
        </is>
      </c>
      <c r="E14" s="2" t="inlineStr">
        <is>
          <t>Partly correct but too thin to act on. States only that type size is set by the PDP area and must be uniform for same-size packages. Omits the key's specifics: fluid ounces ('8 fl. oz.'), at least 1/8-inch letters for a 5-25 sq in PDP, and placement as a distinct item in the bottom 30% of the PDP. No citation; 701.13 was not in the retrieved evidence.</t>
        </is>
      </c>
      <c r="F14" s="2" t="inlineStr">
        <is>
          <t>§ 701.13(a), (j): fluid ounces, e.g., 'Net contents 8 fl. oz.' or '8 fl. oz.' ('net contents' optional). (i)(2): PDP over 5 and up to 25 sq in requires at least 1/8 inch letters. (f): a distinct item within the bottom 30 percent of the PDP, in lines generally parallel to the base, separated above/below by the lettering height and left/right by twice the width of 'N'.</t>
        </is>
      </c>
      <c r="G14" s="3" t="n">
        <v>9.827</v>
      </c>
      <c r="H14" s="2" t="n">
        <v>1385</v>
      </c>
      <c r="I14" s="2" t="n">
        <v>92</v>
      </c>
      <c r="J14" s="2" t="inlineStr">
        <is>
          <t>Missing evidence and incomplete answer: 701.13(a), (f), (i)(2), (j) not retrieved.</t>
        </is>
      </c>
      <c r="K14" s="2" t="inlineStr">
        <is>
          <t>Generated answer</t>
        </is>
      </c>
      <c r="L14" s="2" t="inlineStr">
        <is>
          <t>701</t>
        </is>
      </c>
    </row>
    <row r="15">
      <c r="A15" s="2" t="inlineStr">
        <is>
          <t>COS-710.2-Q1</t>
        </is>
      </c>
      <c r="B15" s="2" t="inlineStr">
        <is>
          <t>We started packaging cosmetics last month. What deadline does § 710.2 give, and is it binding?</t>
        </is>
      </c>
      <c r="C15" s="2" t="inlineStr">
        <is>
          <t>The requested provision [1] states that the owner or operator of an establishment entering into the manufacture or packaging of a cosmetic product should register his establishment within 30 days after the operation begins. This deadline is binding.</t>
        </is>
      </c>
      <c r="D15" s="2" t="inlineStr">
        <is>
          <t>PARTIALLY FAIL</t>
        </is>
      </c>
      <c r="E15" s="2" t="inlineStr">
        <is>
          <t>Partly correct. Correctly states 710.2's 30-day 'should register' timing (cited 710.2), but then says 'This deadline is binding'. The key: 710.2 is part of the voluntary Part 710 program (no longer accepted since March 2023); the binding deadline is FD&amp;C Act 607(a)(1)(B) (60 days). The binding-status answer is wrong and the statutory requirement is missing. Fabricated = 1 (bank Instructions rule 3, invented requirement): Invented binding status: the voluntary 710.2 'should register within 30 days' is stated to be binding.</t>
        </is>
      </c>
      <c r="F15" s="2" t="inlineStr">
        <is>
          <t>§ 710.2: the owner or operator 'should' register within 30 days after beginning the manufacturing or packaging operation. It is part of the voluntary Part 710 program, which FDA stopped accepting in March 2023. The binding deadline is FD&amp;C Act 607(a)(1)(B): within 60 days of beginning, or 60 days after the (a)(1)(A) deadline, whichever is later.</t>
        </is>
      </c>
      <c r="G15" s="3" t="n">
        <v>4.345</v>
      </c>
      <c r="H15" s="2" t="n">
        <v>662</v>
      </c>
      <c r="I15" s="2" t="n">
        <v>45</v>
      </c>
      <c r="J15" s="2" t="inlineStr">
        <is>
          <t>Material error on binding status; statute (FD&amp;C 607) not in corpus. Review how 'should' provisions are characterised.</t>
        </is>
      </c>
      <c r="K15" s="2" t="inlineStr">
        <is>
          <t>Generated answer</t>
        </is>
      </c>
      <c r="L15" s="2" t="inlineStr">
        <is>
          <t>710</t>
        </is>
      </c>
    </row>
    <row r="16">
      <c r="A16" s="2" t="inlineStr">
        <is>
          <t>COS-720.4-Q3</t>
        </is>
      </c>
      <c r="B16" s="2" t="inlineStr">
        <is>
          <t>We sell one permanent hair dye in 12 shades and one lipstick in 8 shades where only the color additive amounts differ. How many Form 2512 statements, and how should ingredients be listed?</t>
        </is>
      </c>
      <c r="C16" s="2" t="inlineStr">
        <is>
          <t>- **Form 2512 statements**: A separate Form FDA-2512 should be filed for each different formulation of a cosmetic product. However, a single Form FDA-2512 may be filed for two or more shades of a cosmetic product where only the amounts of the color additive ingredient used are varied or in the case of flavors and fragrances where only the amounts of the flavors and fragrances used are varied. [3]
- **Ingredients listing**: Applicants should list nominal amounts for inactive ingredients in composition statements. If a range is more appropriate than a nominal amount or concentration, applicants should clearly indicate the reason for providing a range in the composition statement. [1]  
- **Differences**: The Form 2512 statements apply to hair dye and lipstick formulations, while the ingredients listing requires the use of nominal amounts for inactive ingredients. [3]</t>
        </is>
      </c>
      <c r="D16" s="2" t="inlineStr">
        <is>
          <t>PARTIALLY FAIL</t>
        </is>
      </c>
      <c r="E16" s="2" t="inlineStr">
        <is>
          <t>Partly correct. Quotes the 720.4(e) general rule that one Form 2512 may cover shades differing only in color-additive amounts (correctly cited), but misses the exception that hair coloring preparations need a statement for each shade - so it implies the 12 hair-dye shades could share one form (key: 12 statements). The ingredient-listing part uses an NDA composition-statement guidance (nominal amounts) instead of 720.4(d) (descending order, 701.3(c) names).</t>
        </is>
      </c>
      <c r="F16" s="2" t="inlineStr">
        <is>
          <t>720.4(e): a separate form for each formulation; a single form may cover shades differing only in color additive amounts, except hair coloring preparations listed in (c)(6), which need a statement for each shade. So 12 hair-dye statements; the lipstick shades may share one. Under (d)(1)-(3), list ingredients in descending order of predominance by weight, by the FDA-adopted name under 701.3(c), else common or usual name, else chemical or technical name.</t>
        </is>
      </c>
      <c r="G16" s="3" t="n">
        <v>16.871</v>
      </c>
      <c r="H16" s="2" t="n">
        <v>1360</v>
      </c>
      <c r="I16" s="2" t="n">
        <v>180</v>
      </c>
      <c r="J16" s="2" t="inlineStr">
        <is>
          <t>Material omission of an exception and wrong source for listing rules; 720.4(c)(6)/(d) not used though 720.4 was in evidence.</t>
        </is>
      </c>
      <c r="K16" s="2" t="inlineStr">
        <is>
          <t>Generated answer</t>
        </is>
      </c>
      <c r="L16" s="2" t="inlineStr">
        <is>
          <t>720</t>
        </is>
      </c>
    </row>
    <row r="17">
      <c r="A17" s="2" t="inlineStr">
        <is>
          <t>COS-740.11-Q2</t>
        </is>
      </c>
      <c r="B17" s="2" t="inlineStr">
        <is>
          <t>Our hairspray uses a hydrocarbon propellant. Do we need the 'intentional misuse' warning, and are there exemptions?</t>
        </is>
      </c>
      <c r="C17" s="2" t="inlineStr">
        <is>
          <t>The FDA requires that the label of a product containing a hydrocarbon propellant must include a warning about intentional misuse, as specified in 21 CFR 369.21. This warning applies to the use of the product in a self-pressurized container in which the propellant is a halocarbon or hydrocarbon. Additionally, the label must include a warning about the harmful effects of intentional misuse, as required by 21 CFR 501.17(b)(1). If applicable, the warning must also be included in the Warnings section of the label. The requirement applies to all devices and persons who use the product. [1][4][5]</t>
        </is>
      </c>
      <c r="D17" s="2" t="inlineStr">
        <is>
          <t>PARTIALLY FAIL</t>
        </is>
      </c>
      <c r="E17" s="2" t="inlineStr">
        <is>
          <t>Conclusion right (an intentional-misuse warning is required for a hydrocarbon propellant) but grounded in the wrong regulations - 21 CFR 369.21 (OTC drugs) and 501.17(b)(1) (animal food) - instead of 740.11(b)(1), and the exemptions asked about (foam &lt;10% propellant, barrier containers, &lt;2 oz metered, &lt;1/2 oz) are omitted. 740.11 was not in the retrieved evidence.</t>
        </is>
      </c>
      <c r="F17" s="2" t="inlineStr">
        <is>
          <t>Yes. 740.11(b)(1), in addition to (a)(1), for propellant wholly or partly halocarbon or hydrocarbon: 'Warning—Use only as directed. Intentional misuse by deliberately concentrating and inhaling the contents can be harmful or fatal.' Not required for: (i) foam or cream products with less than 10 percent propellant; (ii) containers with a physical barrier preventing propellant escape at use; (iii) under 2 oz net with metered valve; (iv) under 1/2 oz net.</t>
        </is>
      </c>
      <c r="G17" s="3" t="n">
        <v>16.267</v>
      </c>
      <c r="H17" s="2" t="n">
        <v>1529</v>
      </c>
      <c r="I17" s="2" t="n">
        <v>142</v>
      </c>
      <c r="J17" s="2" t="inlineStr">
        <is>
          <t>Wrong governing section and missing exemptions: 740.11(b) not retrieved; drug/animal-food analogues used.</t>
        </is>
      </c>
      <c r="K17" s="2" t="inlineStr">
        <is>
          <t>Generated answer</t>
        </is>
      </c>
      <c r="L17" s="2" t="inlineStr">
        <is>
          <t>740</t>
        </is>
      </c>
    </row>
    <row r="18">
      <c r="A18" s="2" t="inlineStr">
        <is>
          <t>COS-70.19-Q2</t>
        </is>
      </c>
      <c r="B18" s="2" t="inlineStr">
        <is>
          <t>We need to amend a listing to add a cosmetic use and list a new diluent. What fees apply, how do we pay, and can a small company get relief?</t>
        </is>
      </c>
      <c r="C18" s="2"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Determining the Number of Employees for Purposes of the “Small Business” Definition in Parts 117 and 507 (final, 2019-06-19, Docket FDA-2018-D-0671), FDA Guidance: Generic Drug User Fee Amendments of 2012: Questions and Answers Related to User Fee Assessments: Guidance for Industry (final, 2016-11-22, Docket FDA-2012-D-0880), 21 CFR 70.19(o), 21 CFR 70.19(j).</t>
        </is>
      </c>
      <c r="D18" s="2" t="inlineStr">
        <is>
          <t>FAIL</t>
        </is>
      </c>
      <c r="E18" s="2" t="inlineStr">
        <is>
          <t>No answer delivered. The draft failed validation (degenerate output, truncation, prompt echo, repeated statement) and was replaced by a withholding notice. The key's fees ($1,800/$1,600 amendment, $250 diluent listing), payment method (70.19(p)) and waiver/refund relief (70.19(q)-(r)) were not provided. 70.19(j) and (o) were among the retrieved sources.</t>
        </is>
      </c>
      <c r="F18" s="2" t="inlineStr">
        <is>
          <t>70.19(i): amendment or additional tolerance $1,800.00 for (a)/(b) items or $1,600.00 for (c) items. (j): listing a diluent under 80.35, $250.00. (p): pay by money order, bank draft or certified check to the order of the Food and Drug Administration, per the address in (p). (q): the Commissioner may waive or refund fees when that promotes the public interest; (r): anyone facing hardship may petition for waiver or refund.</t>
        </is>
      </c>
      <c r="G18" s="3" t="n">
        <v>10.977</v>
      </c>
      <c r="H18" s="2" t="n">
        <v>1382</v>
      </c>
      <c r="I18" s="2" t="n">
        <v>64</v>
      </c>
      <c r="J18" s="2" t="inlineStr">
        <is>
          <t>Answer withheld after a degenerate draft although part of 70.19 was in evidence. Review why generation degenerated on a multi-part fee question; check whether 70.19(i), (p)-(r) were retrievable.</t>
        </is>
      </c>
      <c r="K18" s="2" t="inlineStr">
        <is>
          <t>Withheld by validator (no answer shown)</t>
        </is>
      </c>
      <c r="L18" s="2" t="inlineStr">
        <is>
          <t>70</t>
        </is>
      </c>
    </row>
    <row r="19">
      <c r="A19" s="2" t="inlineStr">
        <is>
          <t>COS-70.50-Q1</t>
        </is>
      </c>
      <c r="B19" s="2" t="inlineStr">
        <is>
          <t>An older study suggests a colorant in our lip product (which may be ingested) caused tumors when fed to rats. How does FDA apply the cancer provision of section 721?</t>
        </is>
      </c>
      <c r="C19" s="2" t="inlineStr">
        <is>
          <t>The generated answer could not be validated against the retrieved regulatory evidence, so it is not shown. The retrieved sources were not verified to answer the question as asked, so their text is not quoted as an answer. Sources consulted: FDA Guidance: Study Data Technical Conformance Guide - Technical Specifications Document (final, 2026-06-01, Docket FDA-2014-D-0092), FDA Guidance: Pediatric Study Plans: Content of and Process for Submitting Initial Pediatric Study Plans and Amended Initial Pediatric Study Plans (final, 2020-07-31, Docket FDA-2013-D-0814), 21 CFR 81.10(q)(1), 21 CFR 81.10(s).</t>
        </is>
      </c>
      <c r="D19" s="2" t="inlineStr">
        <is>
          <t>FAIL</t>
        </is>
      </c>
      <c r="E19" s="2" t="inlineStr">
        <is>
          <t>No answer delivered: the draft was withheld by the validator (unsupported figure, invented condition). 21 CFR 70.50 was not in the retrieved evidence (sources were 81.10(q)(1), 81.10(s) and two unrelated guidance documents), so the cancer-clause procedure in the key was not provided.</t>
        </is>
      </c>
      <c r="F19" s="2" t="inlineStr">
        <is>
          <t>70.50(a) applies when data suggest the possibility the additive, including components or impurities, induced cancer when ingested (1), or appropriate food-additive tests suggest it (2). On the judgment of appropriately qualified scientists, the Commissioner decides whether cancer was induced and the additive caused it. If not established, the cancer provision does not apply; listing follows if data establish safety. If it induces cancer, no regulation may permit its use.</t>
        </is>
      </c>
      <c r="G19" s="3" t="n">
        <v>25.617</v>
      </c>
      <c r="H19" s="2" t="n">
        <v>1458</v>
      </c>
      <c r="I19" s="2" t="n">
        <v>135</v>
      </c>
      <c r="J19" s="2" t="inlineStr">
        <is>
          <t>Missing evidence: the expected section 70.50 was not retrieved (81.10 and unrelated guidance instead). Review retrieval for questions phrased as 'cancer provision of section 721'.</t>
        </is>
      </c>
      <c r="K19" s="2" t="inlineStr">
        <is>
          <t>Withheld by validator (no answer shown)</t>
        </is>
      </c>
      <c r="L19" s="2" t="inlineStr">
        <is>
          <t>70</t>
        </is>
      </c>
    </row>
    <row r="20">
      <c r="A20" s="2" t="inlineStr">
        <is>
          <t>COS-70.51-Q1</t>
        </is>
      </c>
      <c r="B20" s="2" t="inlineStr">
        <is>
          <t>We want an advisory committee to review whether the cancer provision of section 721 applies to our colorant. What rules govern that request?</t>
        </is>
      </c>
      <c r="C20" s="2" t="inlineStr">
        <is>
          <t>The requested provision requires that an advisory committee review of the cancer provision apply to the colorant. The overall requirement is that the request for review should be communicated to the sponsor following the procedures described in section V.A., Responses to an Appeal. If a request for advisory committee review is granted, the matter should be brought to the next scheduled advisory committee meeting for discussion. The requirement also states that the sponsor should determine whether such review is appropriate and would be helpful to CDER or CBER at that time in the FDR process. If the CBER denies the request, the reasons for the denial must be briefly set forth in writing to the applicant, if the product is a drug, as required by §10.75 (b)(2). The FDA Ombudsman should not make an independent determination of whether an advisory committee review should be granted, but should communicate the determination to the sponsor following the procedures described in section V.A., Responses to an Appeal. The requirement also states that the Center should send a written response to the applicant's request for advisory committee review within 30 calendar days of receiving the request. If the CVM Director denies the request, the reasons for the denial must be briefly set forth in writing to the applicant, if the product is a drug, as required by §10.75 (b)(2). If the CVM Director denies the request, the reasons for the denial must be briefly set forth in writing to the applicant, if the product is a drug, as required by
(Incomplete: generation stopped at the token limit before this answer finished, so wording after this point is missing.)</t>
        </is>
      </c>
      <c r="D20" s="2" t="inlineStr">
        <is>
          <t>FAIL</t>
        </is>
      </c>
      <c r="E20" s="2" t="inlineStr">
        <is>
          <t>Wrong. Describes an FDA drug formal-dispute-resolution guidance (CDER/CBER/CVM, Ombudsman, 30-day response, 10.75(b)(2)) instead of 21 CFR 70.51, which subjects anticancer-clause advisory committee requests to part 14, subpart H; the 70.19(l)-(m) referral fees are absent. The answer is also cut off at the token limit and repeats itself. 70.51 was not in the retrieved evidence.</t>
        </is>
      </c>
      <c r="F20" s="2" t="inlineStr">
        <is>
          <t>70.51: requests for and procedures governing any advisory committee on the anticancer provision are subject to part 14, particularly subpart H of part 14. 70.51 itself sets no composition, membership or time rules. Fees for referral are in 70.19(l)-(m): actual costs, member compensation not to exceed $75.00 per member per day, and a $2,500.00 special advance deposit.</t>
        </is>
      </c>
      <c r="G20" s="3" t="n">
        <v>43.234</v>
      </c>
      <c r="H20" s="2" t="n">
        <v>1338</v>
      </c>
      <c r="I20" s="2" t="n">
        <v>384</v>
      </c>
      <c r="J20" s="2" t="inlineStr">
        <is>
          <t>Missing evidence and off-topic answer: 70.51 not retrieved; answer built from drug-dispute guidance, presents guidance as requirements, truncated. Review retrieval and the truncation/repetition outcome.</t>
        </is>
      </c>
      <c r="K20" s="2" t="inlineStr">
        <is>
          <t>Generated answer</t>
        </is>
      </c>
      <c r="L20" s="2" t="inlineStr">
        <is>
          <t>70</t>
        </is>
      </c>
    </row>
    <row r="21">
      <c r="A21" s="2" t="inlineStr">
        <is>
          <t>COS-70.55-Q1</t>
        </is>
      </c>
      <c r="B21" s="2" t="inlineStr">
        <is>
          <t>We're a small cosmetics firm without a lab. Can FDA run studies to support our color additive petition?</t>
        </is>
      </c>
      <c r="C21" s="2"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Assessing the Effects of Significant Manufacturing Process Changes, Including Emerging Technologies, on the Safety and Regulatory Status of Food Ingredients and Food Contact Substances, Including Food Ingredients that Are Color Additives (final, 2014-06-27, Docket FDA-2011-D-0490), FDA Guidance: Replacing Color Additives in Approved or Marketed Drug Products: Draft Guidance for Industry (draft, 2025-05-29, Docket FDA-2025-D-0507), 21 CFR 71.6(c)(1).</t>
        </is>
      </c>
      <c r="D21" s="2" t="inlineStr">
        <is>
          <t>FAIL</t>
        </is>
      </c>
      <c r="E21" s="2" t="inlineStr">
        <is>
          <t>No answer delivered: the draft was withheld (unsupported claim). Neither 70.55 nor 70.19(n) was in the retrieved evidence (two color-additive guidance documents and 71.6(c)(1)), so the key's answer - FDA will consider requests, limited study types, $5,000 advance deposit - was not provided.</t>
        </is>
      </c>
      <c r="F21" s="2" t="inlineStr">
        <is>
          <t>70.55: the Commissioner will consider requests by any interested person for FDA to conduct studies supporting a color additive petition. If favorably acted upon, studies are limited to pharmacological investigations, chemical and physical structure studies, and methods of analysis of the pure color additive (including impurities) and its identification and determination in foods, drugs or cosmetics. Requests must include the 70.19 fee: a $5,000.00 advance deposit under 70.19(n).</t>
        </is>
      </c>
      <c r="G21" s="3" t="n">
        <v>27.003</v>
      </c>
      <c r="H21" s="2" t="n">
        <v>1340</v>
      </c>
      <c r="I21" s="2" t="n">
        <v>231</v>
      </c>
      <c r="J21" s="2" t="inlineStr">
        <is>
          <t>Missing evidence: 70.55 and 70.19(n) were not retrieved. Review retrieval for 'FDA run studies for our petition'.</t>
        </is>
      </c>
      <c r="K21" s="2" t="inlineStr">
        <is>
          <t>Withheld by validator (no answer shown)</t>
        </is>
      </c>
      <c r="L21" s="2" t="inlineStr">
        <is>
          <t>70</t>
        </is>
      </c>
    </row>
    <row r="22">
      <c r="A22" s="2" t="inlineStr">
        <is>
          <t>COS-71.1-Q2</t>
        </is>
      </c>
      <c r="B22" s="2" t="inlineStr">
        <is>
          <t>We have toxicology data for a new eyeshadow pigment but haven't prepared analytical methods or exposure estimates. What technical content must a color additive petition contain?</t>
        </is>
      </c>
      <c r="C22" s="2" t="inlineStr">
        <is>
          <t>The color additive petition must include the systematic name, genus and species, variability based on climate or geographical factors, and sufficient information to identify food additives of natural origin. Additionally, the petition must provide adequate information on estimating human dietary exposures, as outlined in FDA guidance. The information must be sufficient to ensure clarity about the identity and composition of the food additive in the food additive regulation. The petition must also include any other relevant information not covered in FDA guidance documents. The available regulatory sources do not provide enough information to answer this [1] [2].</t>
        </is>
      </c>
      <c r="D22" s="2" t="inlineStr">
        <is>
          <t>FAIL</t>
        </is>
      </c>
      <c r="E22" s="2" t="inlineStr">
        <is>
          <t>Wrong. Lists animal food-additive petition recommendations from FDA guidance (systematic name, genus and species, dietary exposure) as 'must' requirements and ends by saying the sources are insufficient. It does not give the 71.1(c) attachments A-J, and cites guidance documents rather than the regulation. 71.1 was not in the retrieved evidence.</t>
        </is>
      </c>
      <c r="F22" s="2" t="inlineStr">
        <is>
          <t>71.1(c) requires attachments A–J: A identity, composition, manufacturing, controls, stability; B proposed amount, intended color effect, directions and labeling specimens; C analytical methods; D full safety investigation reports; E probable consumption/exposure and cumulative effects; F proposed tolerances or limitations; G reasons and data if certification exemption is sought; H details of changes to an existing regulation; I listing fee; J categorical exclusion claim (25.30/25.32) or environmental assessment (25.40).</t>
        </is>
      </c>
      <c r="G22" s="3" t="n">
        <v>19.348</v>
      </c>
      <c r="H22" s="2" t="n">
        <v>1308</v>
      </c>
      <c r="I22" s="2" t="n">
        <v>142</v>
      </c>
      <c r="J22" s="2" t="inlineStr">
        <is>
          <t>Missing evidence and guidance stated as requirement: 71.1(c) not retrieved; answer built from animal food-additive guidance. Review retrieval for petition-content questions.</t>
        </is>
      </c>
      <c r="K22" s="2" t="inlineStr">
        <is>
          <t>Generated answer</t>
        </is>
      </c>
      <c r="L22" s="2" t="inlineStr">
        <is>
          <t>71</t>
        </is>
      </c>
    </row>
    <row r="23">
      <c r="A23" s="2" t="inlineStr">
        <is>
          <t>COS-71.6-Q1</t>
        </is>
      </c>
      <c r="B23" s="2" t="inlineStr">
        <is>
          <t>Our color additive petition was filed 80 days ago and FDA hasn't decided. Can FDA take longer than 90 days, and how much longer?</t>
        </is>
      </c>
      <c r="C23" s="2" t="inlineStr">
        <is>
          <t>The available regulatory sources do not provide enough information to answer this question. The requested provision is not found in the available eCFR data.</t>
        </is>
      </c>
      <c r="D23" s="2" t="inlineStr">
        <is>
          <t>FAIL</t>
        </is>
      </c>
      <c r="E23" s="2" t="inlineStr">
        <is>
          <t>Declined: says the requested provision is not found in the available eCFR data. 21 CFR 71.6 is part of Part 71, which is in the Regulus database, but it was not in the retrieved evidence. The key's answer (yes, written notice, extension to no more than 180 days after filing) was not provided.</t>
        </is>
      </c>
      <c r="F23" s="2" t="inlineStr">
        <is>
          <t>Yes. Under 71.6(a), if FDA determines more time is needed to study and investigate the petition, it notifies the petitioner in writing and extends the 90-day period, but for not more than 180 days after filing of the petition.</t>
        </is>
      </c>
      <c r="G23" s="3" t="n">
        <v>7.015</v>
      </c>
      <c r="H23" s="2" t="n">
        <v>1381</v>
      </c>
      <c r="I23" s="2" t="n">
        <v>29</v>
      </c>
      <c r="J23" s="2" t="inlineStr">
        <is>
          <t>Missing evidence leading to a false 'not found' statement: 71.6(a) exists in the corpus but was not retrieved. Review retrieval for timing questions that do not name the section.</t>
        </is>
      </c>
      <c r="K23" s="2" t="inlineStr">
        <is>
          <t>Generated answer</t>
        </is>
      </c>
      <c r="L23" s="2" t="inlineStr">
        <is>
          <t>71</t>
        </is>
      </c>
    </row>
    <row r="24">
      <c r="A24" s="2" t="inlineStr">
        <is>
          <t>COS-71.25-Q1</t>
        </is>
      </c>
      <c r="B24" s="2" t="inlineStr">
        <is>
          <t>FDA reviewed our petition and won't exempt our new pigment from certification. What does that mean for the listing and for using batches that aren't certified?</t>
        </is>
      </c>
      <c r="C24" s="2" t="inlineStr">
        <is>
          <t>The generated answer could not be validated against the retrieved regulatory evidence, so it is not shown. The retrieved sources were not verified to answer the question as asked, so their text is not quoted as an answer. Sources consulted: FDA Guidance: Citizen Petitions and Petitions for Stay of Action Subject to Section 505(q) of the Federal Food, Drug, and Cosmetic Act: Guidance for Industry (final, 2019-09-19, Docket FDA-2009-D-0008), 21 CFR 80.35(b).</t>
        </is>
      </c>
      <c r="D24" s="2" t="inlineStr">
        <is>
          <t>FAIL</t>
        </is>
      </c>
      <c r="E24" s="2" t="inlineStr">
        <is>
          <t>No answer delivered: the draft echoed the prompt and was withheld. 71.25 was not in the retrieved evidence (a 505(q) citizen-petition guidance and 80.35(b)), so the key's answer (listing order in part 74 with specifications; period after which uncertified batches adulterate) was not provided.</t>
        </is>
      </c>
      <c r="F24" s="2" t="inlineStr">
        <is>
          <t>Under 71.25(a), if FDA cannot conclude that certification is unnecessary for public health, it issues an order listing the color additive in part 74, stating in detail the specifications it must meet. Under 71.25(b), the order specifies a period after which use of a certifiable color additive not from a batch certified in accordance with the regulations results in adulteration of the product.</t>
        </is>
      </c>
      <c r="G24" s="3" t="n">
        <v>23.806</v>
      </c>
      <c r="H24" s="2" t="n">
        <v>1363</v>
      </c>
      <c r="I24" s="2" t="n">
        <v>175</v>
      </c>
      <c r="J24" s="2" t="inlineStr">
        <is>
          <t>Missing evidence: 71.25 not retrieved; draft was a prompt echo. Review retrieval for certification-exemption denial questions.</t>
        </is>
      </c>
      <c r="K24" s="2" t="inlineStr">
        <is>
          <t>Withheld by validator (no answer shown)</t>
        </is>
      </c>
      <c r="L24" s="2" t="inlineStr">
        <is>
          <t>71</t>
        </is>
      </c>
    </row>
    <row r="25">
      <c r="A25" s="2" t="inlineStr">
        <is>
          <t>COS-71.26-Q1</t>
        </is>
      </c>
      <c r="B25" s="2" t="inlineStr">
        <is>
          <t>Our eyeliner uses a color additive that is exempt from certification. Can FDA take that exemption away, and how would we find out?</t>
        </is>
      </c>
      <c r="C25" s="2" t="inlineStr">
        <is>
          <t>The FDA requires that color additive mixtures be certified if intended for use in foods, drugs, or cosmetics, or in coloring the human body, subject to restrictions in parts 70 and 71 of this chapter. Additionally, the FDA must check the Inactive Ingredient Database (IID) to ensure that color additives used in FDA-approved products are listed in the regulations and within their restrictions. If the color additive is not listed in the regulations, it must be acceptable if the additive is listed in the regulations and used within the restrictions. If the color additive is not listed in the regulations, the FDA must ensure that the product remains distinguishable to prevent medication errors.</t>
        </is>
      </c>
      <c r="D25" s="2" t="inlineStr">
        <is>
          <t>FAIL</t>
        </is>
      </c>
      <c r="E25" s="2" t="inlineStr">
        <is>
          <t>Wrong. Talks about certification of color additive mixtures and an Inactive Ingredient Database check (drug guidance presented as an FDA obligation) and never answers whether an exemption can be cancelled. Key: yes - under 71.26 the exemption is cancelled by a notice published in the Federal Register. 71.26 was not in the retrieved evidence; no citation given.</t>
        </is>
      </c>
      <c r="F25" s="2" t="inlineStr">
        <is>
          <t>Yes. Under 71.26, if information becomes available to FDA that a color additive granted exemption from certification should not, for the protection of the public health, be so exempted, the exemption is canceled by a notice published in the Federal Register.</t>
        </is>
      </c>
      <c r="G25" s="3" t="n">
        <v>27.372</v>
      </c>
      <c r="H25" s="2" t="n">
        <v>1393</v>
      </c>
      <c r="I25" s="2" t="n">
        <v>213</v>
      </c>
      <c r="J25" s="2" t="inlineStr">
        <is>
          <t>Missing evidence and off-topic answer: 71.26 not retrieved; answer mixes 80.35-style certification text with drug guidance. Review retrieval for 'take that exemption away'.</t>
        </is>
      </c>
      <c r="K25" s="2" t="inlineStr">
        <is>
          <t>Generated answer</t>
        </is>
      </c>
      <c r="L25" s="2" t="inlineStr">
        <is>
          <t>71</t>
        </is>
      </c>
    </row>
    <row r="26">
      <c r="A26" s="2" t="inlineStr">
        <is>
          <t>COS-71.27-Q1</t>
        </is>
      </c>
      <c r="B26" s="2" t="inlineStr">
        <is>
          <t>No one has petitioned for a color we'd like to use in body lotion. Can FDA list it, or exempt it from certification, on its own?</t>
        </is>
      </c>
      <c r="C26" s="2" t="inlineStr">
        <is>
          <t>[1] The available regulatory sources do not provide enough information to answer this.</t>
        </is>
      </c>
      <c r="D26" s="2" t="inlineStr">
        <is>
          <t>FAIL</t>
        </is>
      </c>
      <c r="E26" s="2" t="inlineStr">
        <is>
          <t>Declined ('sources do not provide enough information'), citing 80.35(b). Key: yes - under 71.27 FDA may list a color additive or exempt it from certification on its own initiative by regulation in part 73 or 74. 71.27 was not in the retrieved evidence.</t>
        </is>
      </c>
      <c r="F26" s="2" t="inlineStr">
        <is>
          <t>Yes. Under 71.27, where a petition has not been received, if FDA has facts showing that a color additive should be listed and/or that certification is not necessary for public health protection, it may list the color additive by issuing an appropriate regulation in part 73 or part 74.</t>
        </is>
      </c>
      <c r="G26" s="3" t="n">
        <v>5.572</v>
      </c>
      <c r="H26" s="2" t="n">
        <v>1376</v>
      </c>
      <c r="I26" s="2" t="n">
        <v>17</v>
      </c>
      <c r="J26" s="2" t="inlineStr">
        <is>
          <t>Missing evidence: 71.27 not retrieved, so the system declined. Review retrieval for FDA-initiated listing questions.</t>
        </is>
      </c>
      <c r="K26" s="2" t="inlineStr">
        <is>
          <t>Generated answer</t>
        </is>
      </c>
      <c r="L26" s="2" t="inlineStr">
        <is>
          <t>71</t>
        </is>
      </c>
    </row>
    <row r="27">
      <c r="A27" s="2" t="inlineStr">
        <is>
          <t>COS-73.2085-Q1</t>
        </is>
      </c>
      <c r="B27" s="2" t="inlineStr">
        <is>
          <t>We're developing a bronzing face cream and want to use caramel as the colorant. May we, and what restrictions, certification or labeling apply?</t>
        </is>
      </c>
      <c r="C27"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D27" s="2" t="inlineStr">
        <is>
          <t>FAIL</t>
        </is>
      </c>
      <c r="E27" s="2" t="inlineStr">
        <is>
          <t>No answer delivered: the draft was withheld (unsupported claim). The retrieved evidence was entirely 21 CFR 1271.90 (human cells/tissues donor-eligibility exceptions), not 73.2085, so the key's answer (listed for cosmetics generally incl. eye area, GMP amounts, 73.85 specs, 70.25 labeling, certification-exempt) was not provided.</t>
        </is>
      </c>
      <c r="F27" s="2" t="inlineStr">
        <is>
          <t>Yes. 73.2085(b) lists caramel for coloring cosmetics generally, including cosmetics intended for use in the area of the eye, in amounts consistent with good manufacturing practice (no numeric cap). It must conform in identity and specifications to § 73.85(a)(1), (2) and (3) and (b) ((a)). The additive and its color mixtures bear § 70.25 labeling ((c)). Batches are exempt from section 721(c) certification ((d)).</t>
        </is>
      </c>
      <c r="G27" s="3" t="n">
        <v>11.866</v>
      </c>
      <c r="H27" s="2" t="n">
        <v>1256</v>
      </c>
      <c r="I27" s="2" t="n">
        <v>85</v>
      </c>
      <c r="J27" s="2" t="inlineStr">
        <is>
          <t>Missing evidence: retrieval returned 21 CFR 1271.90 (HCT/P) for a 'we're developing ... want to use X as the colorant' question; 73.2085 not retrieved. Same pattern in 73.2095-73.2725.</t>
        </is>
      </c>
      <c r="K27" s="2" t="inlineStr">
        <is>
          <t>Withheld by validator (no answer shown)</t>
        </is>
      </c>
      <c r="L27" s="2" t="inlineStr">
        <is>
          <t>73</t>
        </is>
      </c>
    </row>
    <row r="28">
      <c r="A28" s="2" t="inlineStr">
        <is>
          <t>COS-73.2095-Q1</t>
        </is>
      </c>
      <c r="B28" s="2" t="inlineStr">
        <is>
          <t>We're developing a sunless-look tinted moisturizer and want to use β-carotene as the colorant. May we, and what restrictions, certification or labeling apply?</t>
        </is>
      </c>
      <c r="C28"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D28" s="2" t="inlineStr">
        <is>
          <t>FAIL</t>
        </is>
      </c>
      <c r="E28" s="2" t="inlineStr">
        <is>
          <t>No answer delivered: the draft was withheld (unsupported claim, condition not in cited source). The retrieved evidence was entirely 21 CFR 1271.90 (HCT/P), not 73.2095, so the key's listing, specification, labeling and certification-exemption answer was not provided.</t>
        </is>
      </c>
      <c r="F28" s="2" t="inlineStr">
        <is>
          <t>Yes. 73.2095(b) lists β-carotene for coloring cosmetics generally, including cosmetics intended for use in the area of the eye, in amounts consistent with good manufacturing practice (no numeric cap). It must conform in identity and specifications to § 73.95(a)(1) and (b) ((a)). The additive and its color mixtures bear § 70.25 labeling ((c)). Batches are exempt from section 721(c) certification ((d)).</t>
        </is>
      </c>
      <c r="G28" s="3" t="n">
        <v>20.324</v>
      </c>
      <c r="H28" s="2" t="n">
        <v>1263</v>
      </c>
      <c r="I28" s="2" t="n">
        <v>199</v>
      </c>
      <c r="J28" s="2" t="inlineStr">
        <is>
          <t>Missing evidence: retrieval returned 21 CFR 1271.90 (HCT/P) instead of 73.2095. Review retrieval for colorant-listing questions.</t>
        </is>
      </c>
      <c r="K28" s="2" t="inlineStr">
        <is>
          <t>Withheld by validator (no answer shown)</t>
        </is>
      </c>
      <c r="L28" s="2" t="inlineStr">
        <is>
          <t>73</t>
        </is>
      </c>
    </row>
    <row r="29">
      <c r="A29" s="2" t="inlineStr">
        <is>
          <t>COS-73.2180-Q1</t>
        </is>
      </c>
      <c r="B29" s="2" t="inlineStr">
        <is>
          <t>We want guaiazulene to give a blue tint to a facial serum and a lip balm. Is that allowed, and what applies?</t>
        </is>
      </c>
      <c r="C29" s="2" t="inlineStr">
        <is>
          <t>The available regulatory sources do not provide enough information to answer this question. [1]</t>
        </is>
      </c>
      <c r="D29" s="2" t="inlineStr">
        <is>
          <t>FAIL</t>
        </is>
      </c>
      <c r="E29" s="2" t="inlineStr">
        <is>
          <t>Declined ('sources do not provide enough information'), citing a Prussian Blue drug guidance. Key: guaiazulene is permitted in externally applied cosmetics (serum yes), lips excluded under 70.3(v) (lip balm no), 70.25 labeling, certification-exempt. 73.2180 was not in the retrieved evidence.</t>
        </is>
      </c>
      <c r="F29" s="2" t="inlineStr">
        <is>
          <t>73.2180(c) permits guaiazulene in externally applied cosmetics in amounts consistent with good manufacturing practice, so the serum can qualify. § 70.3(v) excludes lips from externally applied cosmetics, so the lip balm is outside the listed use. (d): § 70.25 labeling. (e): exempt from certification. It must meet (b) specifications.</t>
        </is>
      </c>
      <c r="G29" s="3" t="n">
        <v>6.495</v>
      </c>
      <c r="H29" s="2" t="n">
        <v>1426</v>
      </c>
      <c r="I29" s="2" t="n">
        <v>18</v>
      </c>
      <c r="J29" s="2" t="inlineStr">
        <is>
          <t>Missing evidence: 73.2180 not retrieved (Prussian Blue guidance instead), so the system declined.</t>
        </is>
      </c>
      <c r="K29" s="2" t="inlineStr">
        <is>
          <t>Generated answer</t>
        </is>
      </c>
      <c r="L29" s="2" t="inlineStr">
        <is>
          <t>73</t>
        </is>
      </c>
    </row>
    <row r="30">
      <c r="A30" s="2" t="inlineStr">
        <is>
          <t>COS-73.2250-Q1</t>
        </is>
      </c>
      <c r="B30" s="2" t="inlineStr">
        <is>
          <t>We're developing a liquid foundation and want to use iron oxides as the colorant. May we, and what restrictions, certification or labeling apply?</t>
        </is>
      </c>
      <c r="C30"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D30" s="2" t="inlineStr">
        <is>
          <t>FAIL</t>
        </is>
      </c>
      <c r="E30" s="2" t="inlineStr">
        <is>
          <t>No answer delivered: the draft was withheld (unsupported claim, invented condition, qualifier errors). The retrieved evidence was entirely 21 CFR 1271.90 (HCT/P), not 73.2250, so the key's answer (synthetic iron oxides listed for cosmetics incl. eye area; As 3 / Pb 10 / Hg 3 ppm; 70.25 labeling; certification-exempt) was not provided.</t>
        </is>
      </c>
      <c r="F30" s="2" t="inlineStr">
        <is>
          <t>Yes. 73.2250(c) lists synthetic iron oxides for coloring cosmetics generally, including cosmetics intended for use in the area of the eye, in amounts consistent with good manufacturing practice. (a): synthetically prepared, free from admixture with other substances. (b): arsenic ≤3 ppm, lead ≤10 ppm, mercury ≤3 ppm. (d): § 70.25 labeling. (e): exempt from certification.</t>
        </is>
      </c>
      <c r="G30" s="3" t="n">
        <v>15.526</v>
      </c>
      <c r="H30" s="2" t="n">
        <v>1256</v>
      </c>
      <c r="I30" s="2" t="n">
        <v>171</v>
      </c>
      <c r="J30" s="2" t="inlineStr">
        <is>
          <t>Missing evidence: retrieval returned 21 CFR 1271.90 (HCT/P) instead of 73.2250.</t>
        </is>
      </c>
      <c r="K30" s="2" t="inlineStr">
        <is>
          <t>Withheld by validator (no answer shown)</t>
        </is>
      </c>
      <c r="L30" s="2" t="inlineStr">
        <is>
          <t>73</t>
        </is>
      </c>
    </row>
    <row r="31">
      <c r="A31" s="2" t="inlineStr">
        <is>
          <t>COS-73.2298-Q1</t>
        </is>
      </c>
      <c r="B31" s="2" t="inlineStr">
        <is>
          <t>We're developing a blue eyeliner and want to use ferric ammonium ferrocyanide as the colorant. May we, and what restrictions, certification or labeling apply?</t>
        </is>
      </c>
      <c r="C31"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D31" s="2" t="inlineStr">
        <is>
          <t>FAIL</t>
        </is>
      </c>
      <c r="E31" s="2" t="inlineStr">
        <is>
          <t>No answer delivered: the draft was withheld. The retrieved evidence was entirely 21 CFR 1271.90 (HCT/P), not 73.2298, so the key's answer (listed for externally applied cosmetics incl. eye area, 73.1298 specs, 70.25 labeling, certification-exempt) was not provided.</t>
        </is>
      </c>
      <c r="F31" s="2" t="inlineStr">
        <is>
          <t>Yes. 73.2298(b) lists ferric ammonium ferrocyanide for coloring externally applied cosmetics, including cosmetics intended for use in the area of the eye, in amounts consistent with good manufacturing practice (no numeric cap). It must conform in identity and specifications to § 73.1298(a)(1) and (b) ((a)). The additive and its color mixtures bear § 70.25 labeling ((c)). Batches are exempt from section 721(c) certification ((d)).</t>
        </is>
      </c>
      <c r="G31" s="3" t="n">
        <v>14.269</v>
      </c>
      <c r="H31" s="2" t="n">
        <v>1262</v>
      </c>
      <c r="I31" s="2" t="n">
        <v>149</v>
      </c>
      <c r="J31" s="2" t="inlineStr">
        <is>
          <t>Missing evidence: retrieval returned 21 CFR 1271.90 (HCT/P) instead of 73.2298.</t>
        </is>
      </c>
      <c r="K31" s="2" t="inlineStr">
        <is>
          <t>Withheld by validator (no answer shown)</t>
        </is>
      </c>
      <c r="L31" s="2" t="inlineStr">
        <is>
          <t>73</t>
        </is>
      </c>
    </row>
    <row r="32">
      <c r="A32" s="2" t="inlineStr">
        <is>
          <t>COS-73.2575-Q1</t>
        </is>
      </c>
      <c r="B32" s="2" t="inlineStr">
        <is>
          <t>We're developing a mineral eye shadow base and want to use titanium dioxide as the colorant. May we, and what restrictions, certification or labeling apply?</t>
        </is>
      </c>
      <c r="C32"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D32" s="2" t="inlineStr">
        <is>
          <t>FAIL</t>
        </is>
      </c>
      <c r="E32" s="2" t="inlineStr">
        <is>
          <t>No answer delivered: the draft was degenerate (truncated, repeated) and withheld. The retrieved evidence was entirely 21 CFR 1271.90 (HCT/P), not 73.2575, so the key's titanium dioxide answer was not provided.</t>
        </is>
      </c>
      <c r="F32" s="2" t="inlineStr">
        <is>
          <t>Yes. 73.2575(b) lists titanium dioxide for coloring cosmetics generally, including cosmetics intended for use in the area of the eye, in amounts consistent with good manufacturing practice (no numeric cap). It must conform in identity and specifications to § 73.575(a)(1) and (b) ((a)). The additive and its color mixtures bear § 70.25 labeling ((c)). Batches are exempt from section 721(c) certification ((d)).</t>
        </is>
      </c>
      <c r="G32" s="3" t="n">
        <v>32.897</v>
      </c>
      <c r="H32" s="2" t="n">
        <v>1257</v>
      </c>
      <c r="I32" s="2" t="n">
        <v>336</v>
      </c>
      <c r="J32" s="2" t="inlineStr">
        <is>
          <t>Missing evidence: retrieval returned 21 CFR 1271.90 (HCT/P) instead of 73.2575.</t>
        </is>
      </c>
      <c r="K32" s="2" t="inlineStr">
        <is>
          <t>Withheld by validator (no answer shown)</t>
        </is>
      </c>
      <c r="L32" s="2" t="inlineStr">
        <is>
          <t>73</t>
        </is>
      </c>
    </row>
    <row r="33">
      <c r="A33" s="2" t="inlineStr">
        <is>
          <t>COS-73.2645-Q1</t>
        </is>
      </c>
      <c r="B33" s="2" t="inlineStr">
        <is>
          <t>We're developing a metallic eyeliner and want to use aluminum powder as the colorant. May we, and what restrictions, certification or labeling apply?</t>
        </is>
      </c>
      <c r="C33"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D33" s="2" t="inlineStr">
        <is>
          <t>FAIL</t>
        </is>
      </c>
      <c r="E33" s="2" t="inlineStr">
        <is>
          <t>No answer delivered: the draft was withheld. The retrieved evidence was entirely 21 CFR 1271.90 (HCT/P), not 73.2645, so the key's aluminum powder answer (externally applied incl. eye area, 73.1645 specs, 70.25 labeling, certification-exempt) was not provided.</t>
        </is>
      </c>
      <c r="F33" s="2" t="inlineStr">
        <is>
          <t>Yes. 73.2645(b) lists aluminum powder for coloring externally applied cosmetics, including cosmetics intended for use in the area of the eye, in amounts consistent with good manufacturing practice (no numeric cap). It must conform in identity and specifications to § 73.1645(a)(1) and (b) ((a)). The additive and its color mixtures bear § 70.25 labeling ((c)). Batches are exempt from section 721(c) certification ((d)).</t>
        </is>
      </c>
      <c r="G33" s="3" t="n">
        <v>27.82</v>
      </c>
      <c r="H33" s="2" t="n">
        <v>1256</v>
      </c>
      <c r="I33" s="2" t="n">
        <v>147</v>
      </c>
      <c r="J33" s="2" t="inlineStr">
        <is>
          <t>Missing evidence: retrieval returned 21 CFR 1271.90 (HCT/P) instead of 73.2645.</t>
        </is>
      </c>
      <c r="K33" s="2" t="inlineStr">
        <is>
          <t>Withheld by validator (no answer shown)</t>
        </is>
      </c>
      <c r="L33" s="2" t="inlineStr">
        <is>
          <t>73</t>
        </is>
      </c>
    </row>
    <row r="34">
      <c r="A34" s="2" t="inlineStr">
        <is>
          <t>COS-73.2646-Q1</t>
        </is>
      </c>
      <c r="B34" s="2" t="inlineStr">
        <is>
          <t>We're developing a bronze eye shadow and want to use bronze powder as the colorant. May we, and what restrictions, certification or labeling apply?</t>
        </is>
      </c>
      <c r="C34"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D34" s="2" t="inlineStr">
        <is>
          <t>FAIL</t>
        </is>
      </c>
      <c r="E34" s="2" t="inlineStr">
        <is>
          <t>No answer delivered: the draft was withheld. The retrieved evidence was entirely 21 CFR 1271.90 (HCT/P), not 73.2646, so the key's bronze powder answer was not provided.</t>
        </is>
      </c>
      <c r="F34" s="2" t="inlineStr">
        <is>
          <t>Yes. 73.2646(b) lists bronze powder for coloring cosmetics generally, including cosmetics intended for use in the area of the eye, in amounts consistent with good manufacturing practice (no numeric cap). It must conform in identity and specifications to § 73.1646(a)(1) and (b) ((a)). The additive and its color mixtures bear § 70.25 labeling ((c)). Batches are exempt from section 721(c) certification ((d)).</t>
        </is>
      </c>
      <c r="G34" s="3" t="n">
        <v>18.374</v>
      </c>
      <c r="H34" s="2" t="n">
        <v>1256</v>
      </c>
      <c r="I34" s="2" t="n">
        <v>163</v>
      </c>
      <c r="J34" s="2" t="inlineStr">
        <is>
          <t>Missing evidence: retrieval returned 21 CFR 1271.90 (HCT/P) instead of 73.2646.</t>
        </is>
      </c>
      <c r="K34" s="2" t="inlineStr">
        <is>
          <t>Withheld by validator (no answer shown)</t>
        </is>
      </c>
      <c r="L34" s="2" t="inlineStr">
        <is>
          <t>73</t>
        </is>
      </c>
    </row>
    <row r="35">
      <c r="A35" s="2" t="inlineStr">
        <is>
          <t>COS-73.2647-Q1</t>
        </is>
      </c>
      <c r="B35" s="2" t="inlineStr">
        <is>
          <t>We're developing a copper-toned blush and want to use copper powder as the colorant. May we, and what restrictions, certification or labeling apply?</t>
        </is>
      </c>
      <c r="C35" s="2" t="inlineStr">
        <is>
          <t>The generated answer could not be validated against the retrieved regulatory evidence, so it is not shown. The retrieved sources were not verified to answer the question as asked, so their text is not quoted as an answer. Sources consulted: 21 CFR 1271.90(c), 21 CFR 1271.90(a)(1), 21 CFR 1271.90(c)(1), 21 CFR 1271.90(c)(3)(ii)(A), 21 CFR 1271.90(c)(3)(ii) and 3 more.</t>
        </is>
      </c>
      <c r="D35" s="2" t="inlineStr">
        <is>
          <t>FAIL</t>
        </is>
      </c>
      <c r="E35" s="2" t="inlineStr">
        <is>
          <t>No answer delivered: the draft was withheld. The retrieved evidence was entirely 21 CFR 1271.90 (HCT/P), not 73.2647, so the key's copper powder answer was not provided.</t>
        </is>
      </c>
      <c r="F35" s="2" t="inlineStr">
        <is>
          <t>Yes. 73.2647(b) lists copper powder for coloring cosmetics generally, including cosmetics intended for use in the area of the eye, in amounts consistent with good manufacturing practice (no numeric cap). It must conform in identity and specifications to § 73.1647(a)(1) and (b) ((a)). The additive and its color mixtures bear § 70.25 labeling ((c)). Batches are exempt from section 721(c) certification ((d)).</t>
        </is>
      </c>
      <c r="G35" s="3" t="n">
        <v>17.223</v>
      </c>
      <c r="H35" s="2" t="n">
        <v>1257</v>
      </c>
      <c r="I35" s="2" t="n">
        <v>153</v>
      </c>
      <c r="J35" s="2" t="inlineStr">
        <is>
          <t>Missing evidence: retrieval returned 21 CFR 1271.90 (HCT/P) instead of 73.2647.</t>
        </is>
      </c>
      <c r="K35" s="2" t="inlineStr">
        <is>
          <t>Withheld by validator (no answer shown)</t>
        </is>
      </c>
      <c r="L35" s="2" t="inlineStr">
        <is>
          <t>73</t>
        </is>
      </c>
    </row>
    <row r="36">
      <c r="A36" s="2" t="inlineStr">
        <is>
          <t>COS-73.2725-Q1</t>
        </is>
      </c>
      <c r="B36" s="2" t="inlineStr">
        <is>
          <t>We're developing a blue eye shadow and want to use ultramarine blue as the colorant. May we, and what restrictions, certification or labeling apply?</t>
        </is>
      </c>
      <c r="C36" s="2" t="inlineStr">
        <is>
          <t>The requested provision requires that a blue eye shadow must be labeled as an HCT/P described in paragraphs (a) and (b) of this section, with required labeling as specified. If the results of any screening or testing indicate the presence of relevant communicable disease agents, the labeling must also include that information. Additionally, if the donor-eligibility determination under § 1271.50(a) is not performed or completed, appropriate measures must be taken to screen and test the donor(s) before transfer. The labeling must also include "FOR AUTOLOGOUS USE ONLY" if the results indicate the presence of relevant communicable disease agents. The availability of the source is confirmed. [4][5]</t>
        </is>
      </c>
      <c r="D36" s="2" t="inlineStr">
        <is>
          <t>FAIL</t>
        </is>
      </c>
      <c r="E36" s="2" t="inlineStr">
        <is>
          <t>Wrong. Answers with human cell/tissue (HCT/P) labeling and donor-testing rules from 21 CFR 1271.90 ('FOR AUTOLOGOUS USE ONLY'), which have nothing to do with ultramarine blue in eye shadow. Key: ultramarines listed for externally applied cosmetics incl. eye area; Pb 20 / As 3 / Hg 1 ppm; 70.25 labeling; certification-exempt. 73.2725 was not in the retrieved evidence. Fabricated = 1 (bank Instructions rule 3, invented requirement): HCT/P labeling rules (21 CFR 1271.90) stated as applying to an eye shadow.</t>
        </is>
      </c>
      <c r="F36" s="2" t="inlineStr">
        <is>
          <t>Yes. 73.2725(c) lists the ultramarine pigments (blue, green, pink, red, violet) for coloring externally applied cosmetics, including cosmetics intended for use in the area of the eye, in amounts consistent with good manufacturing practice. (b): lead ≤20 ppm, arsenic ≤3 ppm, mercury ≤1 ppm. (d): § 70.25 labeling. (e): exempt from section 721(c) certification.</t>
        </is>
      </c>
      <c r="G36" s="3" t="n">
        <v>15.535</v>
      </c>
      <c r="H36" s="2" t="n">
        <v>1258</v>
      </c>
      <c r="I36" s="2" t="n">
        <v>146</v>
      </c>
      <c r="J36" s="2" t="inlineStr">
        <is>
          <t>Missing evidence and wrong delivered answer: retrieval returned 21 CFR 1271.90 (HCT/P) and the model answered from it; the validator passed it. Review retrieval and why this off-topic answer was not withheld.</t>
        </is>
      </c>
      <c r="K36" s="2" t="inlineStr">
        <is>
          <t>Generated answer</t>
        </is>
      </c>
      <c r="L36" s="2" t="inlineStr">
        <is>
          <t>73</t>
        </is>
      </c>
    </row>
    <row r="37">
      <c r="A37" s="2" t="inlineStr">
        <is>
          <t>COS-74.2052-Q1</t>
        </is>
      </c>
      <c r="B37" s="2" t="inlineStr">
        <is>
          <t>We're a color-cosmetics contract manufacturer. Can D&amp;C Black No. 2 go into our mascara, our lipstick and a tinted hair gel, and is there a use limit?</t>
        </is>
      </c>
      <c r="C37" s="2" t="inlineStr">
        <is>
          <t>The generated answer could not be validated against the retrieved regulatory evidence, so it is not shown. The retrieved sources were not verified to answer the question as asked, so their text is not quoted as an answer. Sources consulted: FDA Guidance: Cooperative Manufacturing Arrangements for Licensed Biologics: Guidance for Industry (final, 2008-11-28, Docket FDA-1999-D-0128), 21 CFR 74.2052(c), 21 CFR 720.4(c)(6)(ii), 21 CFR 74.2052(a).</t>
        </is>
      </c>
      <c r="D37" s="2" t="inlineStr">
        <is>
          <t>FAIL</t>
        </is>
      </c>
      <c r="E37" s="2" t="inlineStr">
        <is>
          <t>No answer delivered: the draft was withheld (condition not in cited source), although 74.2052(a) and (c) were in the retrieved evidence. The key's answer (mascara and lipstick listed, hair gel not; no numeric limit; batch certification under part 80) was not provided.</t>
        </is>
      </c>
      <c r="F37" s="2" t="inlineStr">
        <is>
          <t>§ 74.2052(c) permits it for coloring eyeliner, brush-on-brow products, eye shadow, mascara, lipstick, blushers and rouge, makeup and foundation, and nail enamel, in amounts consistent with current good manufacturing practice. Mascara and lipstick are listed; a hair gel is not. No numeric limit is set. All batches must be certified under part 80 (§ 74.2052(e)).</t>
        </is>
      </c>
      <c r="G37" s="3" t="n">
        <v>26.26</v>
      </c>
      <c r="H37" s="2" t="n">
        <v>1413</v>
      </c>
      <c r="I37" s="2" t="n">
        <v>149</v>
      </c>
      <c r="J37" s="2" t="inlineStr">
        <is>
          <t>Answer withheld with the right evidence present (74.2052(c) retrieved). Review the generation/validation outcome for list-membership questions.</t>
        </is>
      </c>
      <c r="K37" s="2" t="inlineStr">
        <is>
          <t>Withheld by validator (no answer shown)</t>
        </is>
      </c>
      <c r="L37" s="2" t="inlineStr">
        <is>
          <t>74</t>
        </is>
      </c>
    </row>
    <row r="38">
      <c r="A38" s="2" t="inlineStr">
        <is>
          <t>COS-74.2203-Q1</t>
        </is>
      </c>
      <c r="B38" s="2" t="inlineStr">
        <is>
          <t>Our salon brand is launching a cream blush and a matching eye shadow, both colored with FD&amp;C Green No. 3. Is FD&amp;C Green No. 3 permitted in both, and does it need certification?</t>
        </is>
      </c>
      <c r="C38" s="2" t="inlineStr">
        <is>
          <t>The available regulatory sources do not provide enough information to answer this question. [4]</t>
        </is>
      </c>
      <c r="D38" s="2" t="inlineStr">
        <is>
          <t>FAIL</t>
        </is>
      </c>
      <c r="E38" s="2" t="inlineStr">
        <is>
          <t>Declined ('sources do not provide enough information'), citing 720.4(c)(3)(iii). Key: permitted in cosmetics generally (blush yes), not eye-area use under 70.5(a) (eye shadow no), batch certification required. Neither 74.2203 nor 70.5 was in the retrieved evidence.</t>
        </is>
      </c>
      <c r="F38" s="2" t="inlineStr">
        <is>
          <t>§ 74.2203(b) permits FD&amp;C Green No. 3 for coloring cosmetics generally in amounts consistent with current good manufacturing practice, so the cream blush is covered. The section does not specifically provide for eye-area use, so under § 70.5(a) the eye shadow is not authorized. All batches must be certified under part 80 (§ 74.2203(d)); the color additive label must conform to § 70.25 (§ 74.2203(c)).</t>
        </is>
      </c>
      <c r="G38" s="3" t="n">
        <v>6.485</v>
      </c>
      <c r="H38" s="2" t="n">
        <v>1457</v>
      </c>
      <c r="I38" s="2" t="n">
        <v>18</v>
      </c>
      <c r="J38" s="2" t="inlineStr">
        <is>
          <t>Missing evidence: 74.2203 and 70.5(a) not retrieved, so the system declined.</t>
        </is>
      </c>
      <c r="K38" s="2" t="inlineStr">
        <is>
          <t>Generated answer</t>
        </is>
      </c>
      <c r="L38" s="2" t="inlineStr">
        <is>
          <t>74</t>
        </is>
      </c>
    </row>
    <row r="39">
      <c r="A39" s="2" t="inlineStr">
        <is>
          <t>COS-74.2208-Q1</t>
        </is>
      </c>
      <c r="B39" s="2" t="inlineStr">
        <is>
          <t>We're an in-house R&amp;D lab formulating a tinted body scrub. Our supplier offers D&amp;C Green No. 8. Can we use it, is there a use limit, and does the color need FDA certification?</t>
        </is>
      </c>
      <c r="C39" s="2" t="inlineStr">
        <is>
          <t>The FDA requires that in-house R&amp;D labs using D&amp;C Green No. 8 for tinted body scrub must apply supply-chain controls, and the supplier must be verified. The use of D&amp;C Green No. 8 is limited under section 520(e) of the act to physicians and other persons authorized by applicable State law. The color D&amp;C Green No. 8 requires FDA certification. [1][4]</t>
        </is>
      </c>
      <c r="D39" s="2" t="inlineStr">
        <is>
          <t>FAIL</t>
        </is>
      </c>
      <c r="E39" s="2" t="inlineStr">
        <is>
          <t>Wrong. Invents a restriction - use 'limited under section 520(e) of the act to physicians' (a restricted-device provision) - and supply-chain controls from animal-food guidance; omits the 0.01% by-weight limit and the external-use condition. Only the statement that certification is required matches the key. Cites an animal-food guidance and 21 CFR 1271.210(c). 74.2208 was not in the retrieved evidence. Fabricated = 1 (bank Instructions rule 3, invented requirement): Invented restriction: use 'limited under section 520(e) of the act to physicians'.</t>
        </is>
      </c>
      <c r="F39" s="2" t="inlineStr">
        <is>
          <t>Yes. § 74.2208(b) permits D&amp;C Green No. 8 for coloring externally applied cosmetics in amounts not exceeding 0.01 percent by weight of the finished cosmetic product. A body scrub is applied only to external body parts, not lips or mucous membrane (§ 70.3(v)). All batches must be certified under part 80 (§ 74.2208(d)); the color additive label must conform to § 70.25 (§ 74.2208(c)).</t>
        </is>
      </c>
      <c r="G39" s="3" t="n">
        <v>14.862</v>
      </c>
      <c r="H39" s="2" t="n">
        <v>1437</v>
      </c>
      <c r="I39" s="2" t="n">
        <v>90</v>
      </c>
      <c r="J39" s="2" t="inlineStr">
        <is>
          <t>Unsupported claim and missing evidence: 74.2208 not retrieved; answer invents a physician-use restriction. Review retrieval and why the invented restriction passed validation.</t>
        </is>
      </c>
      <c r="K39" s="2" t="inlineStr">
        <is>
          <t>Generated answer</t>
        </is>
      </c>
      <c r="L39" s="2" t="inlineStr">
        <is>
          <t>74</t>
        </is>
      </c>
    </row>
    <row r="40">
      <c r="A40" s="2" t="inlineStr">
        <is>
          <t>COS-74.2254-Q1</t>
        </is>
      </c>
      <c r="B40" s="2" t="inlineStr">
        <is>
          <t>We're a small skincare brand formulating a tinted body butter. Our supplier offers D&amp;C Orange No. 4. Can we use it, is there a use limit, and does the color need FDA certification?</t>
        </is>
      </c>
      <c r="C40" s="2" t="inlineStr">
        <is>
          <t>The generated answer could not be validated against the retrieved regulatory evidence, so it is not shown. The retrieved sources were not verified to answer the question as asked, so their text is not quoted as an answer. Sources consulted: FDA Guidance: CVM GFI #246 Hazard Analysis and Risk-Based Preventive Controls for Food for Animals: Supply-Chain Program (draft, 2018-06-15, Docket FDA-2018-D-1861), FDA Guidance: Draft Guidance for Industry: Hazard Analysis and Risk-Based Preventive Controls for Human Food (draft, 2024-01-30, Docket FDA-2016-D-2343), 21 CFR 101.22(i)(4).</t>
        </is>
      </c>
      <c r="D40" s="2" t="inlineStr">
        <is>
          <t>FAIL</t>
        </is>
      </c>
      <c r="E40" s="2" t="inlineStr">
        <is>
          <t>No answer delivered: draft withheld (unsupported claim). 74.2254 and 70.3(v) were not in the retrieved evidence (animal/human-food preventive-controls guidance and 101.22(i)(4)), so the key's answer (permitted in externally applied cosmetics, GMP amounts, batch certification under part 80) was not provided.</t>
        </is>
      </c>
      <c r="F40" s="2" t="inlineStr">
        <is>
          <t>Yes. § 74.2254(b) permits D&amp;C Orange No. 4 for coloring externally applied cosmetics in amounts consistent with good manufacturing practice; no numeric limit is set. A body butter is applied only to external body parts, not lips or mucous membrane (§ 70.3(v)). All batches must be certified under part 80 (§ 74.2254(d)); the color additive label must conform to § 70.25 (§ 74.2254(c)).</t>
        </is>
      </c>
      <c r="G40" s="3" t="n">
        <v>15.923</v>
      </c>
      <c r="H40" s="2" t="n">
        <v>1379</v>
      </c>
      <c r="I40" s="2" t="n">
        <v>100</v>
      </c>
      <c r="J40" s="2" t="inlineStr">
        <is>
          <t>Missing evidence: 74.2254 not retrieved (food preventive-controls guidance instead).</t>
        </is>
      </c>
      <c r="K40" s="2" t="inlineStr">
        <is>
          <t>Withheld by validator (no answer shown)</t>
        </is>
      </c>
      <c r="L40" s="2" t="inlineStr">
        <is>
          <t>74</t>
        </is>
      </c>
    </row>
    <row r="41">
      <c r="A41" s="2" t="inlineStr">
        <is>
          <t>COS-74.2304-Q1</t>
        </is>
      </c>
      <c r="B41" s="2" t="inlineStr">
        <is>
          <t>We're a private-label manufacturer formulating a tinted nail enamel. Our supplier offers FD&amp;C Red No. 4. Can we use it, is there a use limit, and does the color need FDA certification?</t>
        </is>
      </c>
      <c r="C41" s="2" t="inlineStr">
        <is>
          <t>The available regulatory sources do not provide enough information to answer this question. [4]</t>
        </is>
      </c>
      <c r="D41" s="2" t="inlineStr">
        <is>
          <t>FAIL</t>
        </is>
      </c>
      <c r="E41" s="2" t="inlineStr">
        <is>
          <t>Declined ('sources do not provide enough information'), citing 74.2052(c). 74.2304 was not in the retrieved evidence, so the key's answer (permitted in externally applied cosmetics incl. nail enamel, no numeric limit, batch certification) was not provided.</t>
        </is>
      </c>
      <c r="F41" s="2" t="inlineStr">
        <is>
          <t>Yes. § 74.2304(b) permits FD&amp;C Red No. 4 for coloring externally applied cosmetics in amounts consistent with good manufacturing practice; no numeric limit is set. A nail enamel is applied only to external body parts, not lips or mucous membrane (§ 70.3(v)). All batches must be certified under part 80 (§ 74.2304(d)); the color additive label must conform to § 70.25 (§ 74.2304(c)).</t>
        </is>
      </c>
      <c r="G41" s="3" t="n">
        <v>8.930999999999999</v>
      </c>
      <c r="H41" s="2" t="n">
        <v>1205</v>
      </c>
      <c r="I41" s="2" t="n">
        <v>18</v>
      </c>
      <c r="J41" s="2" t="inlineStr">
        <is>
          <t>Missing evidence: 74.2304 not retrieved (74.2052 instead), so the system declined.</t>
        </is>
      </c>
      <c r="K41" s="2" t="inlineStr">
        <is>
          <t>Generated answer</t>
        </is>
      </c>
      <c r="L41" s="2" t="inlineStr">
        <is>
          <t>74</t>
        </is>
      </c>
    </row>
    <row r="42">
      <c r="A42" s="2" t="inlineStr">
        <is>
          <t>COS-74.2317-Q1</t>
        </is>
      </c>
      <c r="B42" s="2" t="inlineStr">
        <is>
          <t>We're a 12-person contract filler formulating a tinted body butter. Our supplier offers D&amp;C Red No. 17. Can we use it, is there a use limit, and does the color need FDA certification?</t>
        </is>
      </c>
      <c r="C42" s="2" t="inlineStr">
        <is>
          <t>The generated answer could not be validated against the retrieved regulatory evidence, so it is not shown. The retrieved sources were not verified to answer the question as asked, so their text is not quoted as an answer. Sources consulted: FDA Guidance: CVM GFI #246 Hazard Analysis and Risk-Based Preventive Controls for Food for Animals: Supply-Chain Program (draft, 2018-06-15, Docket FDA-2018-D-1861), 21 CFR 170.3(o)(14), 21 CFR 170.3(n)(12).</t>
        </is>
      </c>
      <c r="D42" s="2" t="inlineStr">
        <is>
          <t>FAIL</t>
        </is>
      </c>
      <c r="E42" s="2" t="inlineStr">
        <is>
          <t>No answer delivered: draft withheld (unsupported figure/claim). 74.2317 was not in the retrieved evidence (animal-food guidance, 170.3), so the key's answer was not provided.</t>
        </is>
      </c>
      <c r="F42" s="2" t="inlineStr">
        <is>
          <t>Yes. § 74.2317(b) permits D&amp;C Red No. 17 for coloring externally applied cosmetics in amounts consistent with good manufacturing practice; no numeric limit is set. A body butter is applied only to external body parts, not lips or mucous membrane (§ 70.3(v)). All batches must be certified under part 80 (§ 74.2317(d)); the color additive label must conform to § 70.25 (§ 74.2317(c)).</t>
        </is>
      </c>
      <c r="G42" s="3" t="n">
        <v>19.719</v>
      </c>
      <c r="H42" s="2" t="n">
        <v>1439</v>
      </c>
      <c r="I42" s="2" t="n">
        <v>112</v>
      </c>
      <c r="J42" s="2" t="inlineStr">
        <is>
          <t>Missing evidence: 74.2317 not retrieved.</t>
        </is>
      </c>
      <c r="K42" s="2" t="inlineStr">
        <is>
          <t>Withheld by validator (no answer shown)</t>
        </is>
      </c>
      <c r="L42" s="2" t="inlineStr">
        <is>
          <t>74</t>
        </is>
      </c>
    </row>
    <row r="43">
      <c r="A43" s="2" t="inlineStr">
        <is>
          <t>COS-74.2322-Q1</t>
        </is>
      </c>
      <c r="B43" s="2" t="inlineStr">
        <is>
          <t>Our small color-cosmetics brand is launching a lip gloss and a matching mascara, both colored with D&amp;C Red No. 22. Is D&amp;C Red No. 22 permitted in both, and does it need certification?</t>
        </is>
      </c>
      <c r="C43" s="2" t="inlineStr">
        <is>
          <t>The available regulatory sources do not provide enough information to answer this question. [1]</t>
        </is>
      </c>
      <c r="D43" s="2" t="inlineStr">
        <is>
          <t>FAIL</t>
        </is>
      </c>
      <c r="E43" s="2" t="inlineStr">
        <is>
          <t>Declined, citing an animal-food color guidance. Key: lip gloss permitted (cosmetics generally), mascara not authorized under 70.5(a), batch certification required. Neither 74.2322 nor 70.5 was in the retrieved evidence.</t>
        </is>
      </c>
      <c r="F43" s="2" t="inlineStr">
        <is>
          <t>§ 74.2322(b) permits D&amp;C Red No. 22 for coloring cosmetics generally in amounts consistent with current good manufacturing practice, so the lip gloss is covered. The section does not specifically provide for eye-area use, so under § 70.5(a) the mascara is not authorized. All batches must be certified under part 80 (§ 74.2322(d)); the color additive label must conform to § 70.25 (§ 74.2322(c)).</t>
        </is>
      </c>
      <c r="G43" s="3" t="n">
        <v>20.996</v>
      </c>
      <c r="H43" s="2" t="n">
        <v>1436</v>
      </c>
      <c r="I43" s="2" t="n">
        <v>18</v>
      </c>
      <c r="J43" s="2" t="inlineStr">
        <is>
          <t>Missing evidence: 74.2322 and 70.5(a) not retrieved, so the system declined.</t>
        </is>
      </c>
      <c r="K43" s="2" t="inlineStr">
        <is>
          <t>Generated answer</t>
        </is>
      </c>
      <c r="L43" s="2" t="inlineStr">
        <is>
          <t>74</t>
        </is>
      </c>
    </row>
    <row r="44">
      <c r="A44" s="2" t="inlineStr">
        <is>
          <t>COS-74.2327-Q1</t>
        </is>
      </c>
      <c r="B44" s="2" t="inlineStr">
        <is>
          <t>Our 12-person contract filler is launching a cream blush and a matching eye shadow, both colored with D&amp;C Red No. 27. Is D&amp;C Red No. 27 permitted in both, and does it need certification?</t>
        </is>
      </c>
      <c r="C44" s="2" t="inlineStr">
        <is>
          <t>The available regulatory sources do not provide enough information to answer this question. [4]</t>
        </is>
      </c>
      <c r="D44" s="2" t="inlineStr">
        <is>
          <t>FAIL</t>
        </is>
      </c>
      <c r="E44" s="2" t="inlineStr">
        <is>
          <t>Declined, citing 74.2052(c). Key: blush permitted, eye shadow not authorized under 70.5(a), batch certification required. Neither 74.2327 nor 70.5 was in the retrieved evidence.</t>
        </is>
      </c>
      <c r="F44" s="2" t="inlineStr">
        <is>
          <t>§ 74.2327(b) permits D&amp;C Red No. 27 for coloring cosmetics generally in amounts consistent with current good manufacturing practice, so the cream blush is covered. The section does not specifically provide for eye-area use, so under § 70.5(a) the eye shadow is not authorized. All batches must be certified under part 80 (§ 74.2327(d)); the color additive label must conform to § 70.25 (§ 74.2327(c)).</t>
        </is>
      </c>
      <c r="G44" s="3" t="n">
        <v>8.333</v>
      </c>
      <c r="H44" s="2" t="n">
        <v>1464</v>
      </c>
      <c r="I44" s="2" t="n">
        <v>18</v>
      </c>
      <c r="J44" s="2" t="inlineStr">
        <is>
          <t>Missing evidence: 74.2327 and 70.5(a) not retrieved, so the system declined.</t>
        </is>
      </c>
      <c r="K44" s="2" t="inlineStr">
        <is>
          <t>Generated answer</t>
        </is>
      </c>
      <c r="L44" s="2" t="inlineStr">
        <is>
          <t>74</t>
        </is>
      </c>
    </row>
    <row r="45">
      <c r="A45" s="2" t="inlineStr">
        <is>
          <t>COS-74.2340-Q1</t>
        </is>
      </c>
      <c r="B45" s="2" t="inlineStr">
        <is>
          <t>We plan an eye shadow using FD&amp;C Red No. 40 Calcium Lake and a lip gloss using the straight color. Are both permitted?</t>
        </is>
      </c>
      <c r="C45" s="2" t="inlineStr">
        <is>
          <t>The generated answer could not be validated against the retrieved regulatory evidence, so it is not shown. The retrieved sources were not verified to answer the question as asked, so their text is not quoted as an answer. Sources consulted: FDA Guidance: Replacing Color Additives in Approved or Marketed Drug Products: Draft Guidance for Industry (draft, 2025-05-29, Docket FDA-2025-D-0507), FDA Guidance: CVM GFI #223 Small Entity Compliance Guide Declaring Color Additives in Animal Foods (final, 2013-09-27, Docket FDA-2013-D-1088), 21 CFR 82.2051(a)(1), 21 CFR 82.1051(b).</t>
        </is>
      </c>
      <c r="D45" s="2" t="inlineStr">
        <is>
          <t>FAIL</t>
        </is>
      </c>
      <c r="E45" s="2" t="inlineStr">
        <is>
          <t>No answer delivered: draft withheld (unsupported figure, invented condition). 74.2340 was not in the retrieved evidence (82.2051, 82.1051 and two guidance documents), so the key's answer (calcium-lake eye shadow not permitted; straight-color lip gloss permitted; certification) was not provided.</t>
        </is>
      </c>
      <c r="F45" s="2" t="inlineStr">
        <is>
          <t>§ 74.2340(b): FD&amp;C Red No. 40 may be used for coloring cosmetics generally, except that only FD&amp;C Red No. 40 and FD&amp;C Red No. 40 Aluminum Lake may be used in cosmetics intended for the eye area. The calcium-lake eye shadow is not permitted; the lip gloss is, in amounts consistent with current good manufacturing practice ((b)(1)). All batches must be certified under part 80 ((d)).</t>
        </is>
      </c>
      <c r="G45" s="3" t="n">
        <v>10.812</v>
      </c>
      <c r="H45" s="2" t="n">
        <v>1422</v>
      </c>
      <c r="I45" s="2" t="n">
        <v>72</v>
      </c>
      <c r="J45" s="2" t="inlineStr">
        <is>
          <t>Missing evidence: 74.2340 not retrieved.</t>
        </is>
      </c>
      <c r="K45" s="2" t="inlineStr">
        <is>
          <t>Withheld by validator (no answer shown)</t>
        </is>
      </c>
      <c r="L45" s="2" t="inlineStr">
        <is>
          <t>74</t>
        </is>
      </c>
    </row>
    <row r="46">
      <c r="A46" s="2" t="inlineStr">
        <is>
          <t>COS-74.2602a-Q1</t>
        </is>
      </c>
      <c r="B46" s="2" t="inlineStr">
        <is>
          <t>We're a small skincare brand formulating a tinted nail enamel. Our supplier offers Ext. D&amp;C Violet No. 2. Can we use it, is there a use limit, and does the color need FDA certification?</t>
        </is>
      </c>
      <c r="C46" s="2" t="inlineStr">
        <is>
          <t>- **Use limit**: The supplier can use Ext. D&amp;C Violet No. 2 as a tinted nail enamel, provided it is applied in accordance with the applicable regulations. [1]  
- **FDA certification**: The color does not require FDA certification, as it is a non-certificate color. [5]  
- **Suppliers**: The use of this color is subject to the supplier’s approval process and verification activities, as outlined in FDA guidance. [2]</t>
        </is>
      </c>
      <c r="D46" s="2" t="inlineStr">
        <is>
          <t>FAIL</t>
        </is>
      </c>
      <c r="E46" s="2" t="inlineStr">
        <is>
          <t>Wrong. States the color 'does not require FDA certification, as it is a non-certificate color' - the key says all batches must be certified under part 80 (74.2602a(e)). The use-limit line is vague and the supplier-verification line presents food-safety guidance as a requirement. 74.2602a was not in the retrieved evidence.</t>
        </is>
      </c>
      <c r="F46" s="2" t="inlineStr">
        <is>
          <t>Yes. § 74.2602a(c) permits Ext. D&amp;C Violet No. 2 for coloring externally applied cosmetics in amounts consistent with good manufacturing practice; no numeric limit is set. A nail enamel is applied only to external body parts, not lips or mucous membrane (§ 70.3(v)). All batches must be certified under part 80 (§ 74.2602a(e)); the color additive label must conform to § 70.25 (§ 74.2602a(d)).</t>
        </is>
      </c>
      <c r="G46" s="3" t="n">
        <v>12.685</v>
      </c>
      <c r="H46" s="2" t="n">
        <v>1464</v>
      </c>
      <c r="I46" s="2" t="n">
        <v>98</v>
      </c>
      <c r="J46" s="2" t="inlineStr">
        <is>
          <t>Materially wrong (certification status inverted) with missing evidence: 74.2602a not retrieved; answer delivered from unrelated sources. Review why an uncited certification claim passed validation.</t>
        </is>
      </c>
      <c r="K46" s="2" t="inlineStr">
        <is>
          <t>Generated answer</t>
        </is>
      </c>
      <c r="L46" s="2" t="inlineStr">
        <is>
          <t>74</t>
        </is>
      </c>
    </row>
    <row r="47">
      <c r="A47" s="2" t="inlineStr">
        <is>
          <t>COS-74.2708-Q1</t>
        </is>
      </c>
      <c r="B47" s="2" t="inlineStr">
        <is>
          <t>We're an in-house R&amp;D lab formulating a tinted body lotion. Our supplier offers D&amp;C Yellow No. 8. Can we use it, is there a use limit, and does the color need FDA certification?</t>
        </is>
      </c>
      <c r="C47" s="2" t="inlineStr">
        <is>
          <t>The FDA requires that in-house R&amp;D labs using D&amp;C Yellow No. 8 for tinted body lotion must apply supply-chain controls and verify supplier processes. Additionally, the use of D&amp;C Yellow No. 8 is limited under section 520(e) of the act to physicians and other persons authorized by applicable State law.</t>
        </is>
      </c>
      <c r="D47" s="2" t="inlineStr">
        <is>
          <t>FAIL</t>
        </is>
      </c>
      <c r="E47" s="2" t="inlineStr">
        <is>
          <t>Wrong. Invents a restriction ('limited under section 520(e) of the act to physicians') and supply-chain duties from food guidance; never answers the use limit or certification (key: externally applied, GMP amounts, batch certification under part 80). No citation. 74.2708 was not in the retrieved evidence. Fabricated = 1 (bank Instructions rule 3, invented requirement): Invented restriction: use 'limited under section 520(e) of the act to physicians'.</t>
        </is>
      </c>
      <c r="F47" s="2" t="inlineStr">
        <is>
          <t>Yes. § 74.2708(b) permits D&amp;C Yellow No. 8 for coloring externally applied cosmetics in amounts consistent with good manufacturing practice; no numeric limit is set. A body lotion is applied only to external body parts, not lips or mucous membrane (§ 70.3(v)). All batches must be certified under part 80 (§ 74.2708(d)); the color additive label must conform to § 70.25 (§ 74.2708(c)).</t>
        </is>
      </c>
      <c r="G47" s="3" t="n">
        <v>14.613</v>
      </c>
      <c r="H47" s="2" t="n">
        <v>1445</v>
      </c>
      <c r="I47" s="2" t="n">
        <v>114</v>
      </c>
      <c r="J47" s="2" t="inlineStr">
        <is>
          <t>Unsupported claim and missing evidence: 74.2708 not retrieved; invented physician-use restriction delivered (same as 74.2208).</t>
        </is>
      </c>
      <c r="K47" s="2" t="inlineStr">
        <is>
          <t>Generated answer</t>
        </is>
      </c>
      <c r="L47" s="2" t="inlineStr">
        <is>
          <t>74</t>
        </is>
      </c>
    </row>
    <row r="48">
      <c r="A48" s="2" t="inlineStr">
        <is>
          <t>COS-74.2710-Q1</t>
        </is>
      </c>
      <c r="B48" s="2" t="inlineStr">
        <is>
          <t>Our indie startup is launching a lip gloss and a matching mascara, both colored with D&amp;C Yellow No. 10. Is D&amp;C Yellow No. 10 permitted in both, and does it need certification?</t>
        </is>
      </c>
      <c r="C48" s="2" t="inlineStr">
        <is>
          <t>The available regulatory sources do not provide enough information to answer this question. [1]</t>
        </is>
      </c>
      <c r="D48" s="2" t="inlineStr">
        <is>
          <t>FAIL</t>
        </is>
      </c>
      <c r="E48" s="2" t="inlineStr">
        <is>
          <t>Declined, citing a drug color-replacement guidance. Key: lip gloss permitted, mascara not authorized under 70.5(a), batch certification required. Neither 74.2710 nor 70.5 was in the retrieved evidence.</t>
        </is>
      </c>
      <c r="F48" s="2" t="inlineStr">
        <is>
          <t>§ 74.2710(b) permits D&amp;C Yellow No. 10 for coloring cosmetics generally in amounts consistent with current good manufacturing practice, so the lip gloss is covered. The section does not specifically provide for eye-area use, so under § 70.5(a) the mascara is not authorized. All batches must be certified under part 80 (§ 74.2710(d)); the color additive label must conform to § 70.25 (§ 74.2710(c)).</t>
        </is>
      </c>
      <c r="G48" s="3" t="n">
        <v>4.814</v>
      </c>
      <c r="H48" s="2" t="n">
        <v>1432</v>
      </c>
      <c r="I48" s="2" t="n">
        <v>18</v>
      </c>
      <c r="J48" s="2" t="inlineStr">
        <is>
          <t>Missing evidence: 74.2710 and 70.5(a) not retrieved, so the system declined.</t>
        </is>
      </c>
      <c r="K48" s="2" t="inlineStr">
        <is>
          <t>Generated answer</t>
        </is>
      </c>
      <c r="L48" s="2" t="inlineStr">
        <is>
          <t>74</t>
        </is>
      </c>
    </row>
    <row r="49">
      <c r="A49" s="2" t="inlineStr">
        <is>
          <t>COS-74.2711-Q1</t>
        </is>
      </c>
      <c r="B49" s="2" t="inlineStr">
        <is>
          <t>We're a 12-person contract filler formulating a tinted nail enamel. Our supplier offers D&amp;C Yellow No. 11. Can we use it, is there a use limit, and does the color need FDA certification?</t>
        </is>
      </c>
      <c r="C49" s="2" t="inlineStr">
        <is>
          <t>The generated answer could not be validated against the retrieved regulatory evidence, so it is not shown. The retrieved sources were not verified to answer the question as asked, so their text is not quoted as an answer. Sources consulted: FDA Guidance: CVM GFI #246 Hazard Analysis and Risk-Based Preventive Controls for Food for Animals: Supply-Chain Program (draft, 2018-06-15, Docket FDA-2018-D-1861), 21 CFR 720.4(c)(8)(v), 21 CFR 720.4(c)(8)(vi), 21 CFR 74.2052(c).</t>
        </is>
      </c>
      <c r="D49" s="2" t="inlineStr">
        <is>
          <t>FAIL</t>
        </is>
      </c>
      <c r="E49" s="2" t="inlineStr">
        <is>
          <t>No answer delivered: draft withheld (unsupported figure/claim). 74.2711 was not in the retrieved evidence (animal-food guidance, 720.4, 74.2052(c)), so the key's answer was not provided.</t>
        </is>
      </c>
      <c r="F49" s="2" t="inlineStr">
        <is>
          <t>Yes. § 74.2711(b) permits D&amp;C Yellow No. 11 for coloring externally applied cosmetics in amounts consistent with good manufacturing practice; no numeric limit is set. A nail enamel is applied only to external body parts, not lips or mucous membrane (§ 70.3(v)). All batches must be certified under part 80 (§ 74.2711(d)); the color additive label must conform to § 70.25 (§ 74.2711(c)).</t>
        </is>
      </c>
      <c r="G49" s="3" t="n">
        <v>12.18</v>
      </c>
      <c r="H49" s="2" t="n">
        <v>1434</v>
      </c>
      <c r="I49" s="2" t="n">
        <v>93</v>
      </c>
      <c r="J49" s="2" t="inlineStr">
        <is>
          <t>Missing evidence: 74.2711 not retrieved.</t>
        </is>
      </c>
      <c r="K49" s="2" t="inlineStr">
        <is>
          <t>Withheld by validator (no answer shown)</t>
        </is>
      </c>
      <c r="L49" s="2" t="inlineStr">
        <is>
          <t>74</t>
        </is>
      </c>
    </row>
    <row r="50">
      <c r="A50" s="2" t="inlineStr">
        <is>
          <t>COS-80.10-Q1</t>
        </is>
      </c>
      <c r="B50" s="2" t="inlineStr">
        <is>
          <t>We're submitting a 2,000-pound batch of a straight color for certification. What fee do we pay, and how must we pay it?</t>
        </is>
      </c>
      <c r="C50" s="2" t="inlineStr">
        <is>
          <t>The generated answer could not be validated against the retrieved regulatory evidence, so it is not shown. The retrieved sources were not verified to answer the question as asked, so their text is not quoted as an answer. Sources consulted: FDA Guidance: Generic Drug User Fee Amendments of 2012: Questions and Answers Related to User Fee Assessments: Guidance for Industry (final, 2016-11-22, Docket FDA-2012-D-0880), FDA Guidance: Assessing User Fees Under the Generic Drug User Fee Amendments of 2022 (final, 2023-06-09, Docket FDA-2012-D-0880), 21 CFR 80.10(a), 21 CFR 80.10(b), 21 CFR 80.21(j)(1).</t>
        </is>
      </c>
      <c r="D50" s="2" t="inlineStr">
        <is>
          <t>FAIL</t>
        </is>
      </c>
      <c r="E50" s="2" t="inlineStr">
        <is>
          <t>No answer delivered: draft withheld (unsupported figure), although 80.10(a) and (b) were in the retrieved evidence. The key's answer ($0.45/lb, minimum $288, so $900; payment by money order/bank draft/certified check per 80.10(d); advance deposits per (c)) was not provided.</t>
        </is>
      </c>
      <c r="F50" s="2" t="inlineStr">
        <is>
          <t>§ 80.10(a): $0.45 per pound of the batch, minimum $288, so $900. § 80.10(d): pay by money order, bank draft, or certified check drawn to the order of the Food and Drug Administration, collectible at par at Washington, DC, sent to CFSAN (HFS-100), 5001 Campus Dr., College Park, MD 20740. Regular requesters may prepay through advance deposits (§ 80.10(c)).</t>
        </is>
      </c>
      <c r="G50" s="3" t="n">
        <v>13.126</v>
      </c>
      <c r="H50" s="2" t="n">
        <v>1461</v>
      </c>
      <c r="I50" s="2" t="n">
        <v>128</v>
      </c>
      <c r="J50" s="2" t="inlineStr">
        <is>
          <t>Answer withheld with the fee paragraph present: a computed figure ($900 from $0.45/lb) is likely what failed the figure check; 80.10(d) payment method not retrieved. Review figure validation for arithmetic answers.</t>
        </is>
      </c>
      <c r="K50" s="2" t="inlineStr">
        <is>
          <t>Withheld by validator (no answer shown)</t>
        </is>
      </c>
      <c r="L50" s="2" t="inlineStr">
        <is>
          <t>80</t>
        </is>
      </c>
    </row>
    <row r="51">
      <c r="A51" s="2" t="inlineStr">
        <is>
          <t>COS-80.37-Q1</t>
        </is>
      </c>
      <c r="B51" s="2" t="inlineStr">
        <is>
          <t>After we take the certification sample, how must we handle the batch while we wait for FDA?</t>
        </is>
      </c>
      <c r="C51" s="2" t="inlineStr">
        <is>
          <t>The FDA requires that after taking the certification sample, the batch must be handled according to the sampling plan developed in the guidance. Specifically, environmental sampling must be conducted at least monthly (§ 112.145(c)(2)), and samples may be collected from only some of the identified sampling sites. Additionally, the guidance provides examples of how to develop a sampling plan, including determining sampling frequency and ensuring all sites are sampled. The FDA guidance also mentions that sample perturbation studies should be conducted to ensure the SMBG device handles sample perturbation properly.</t>
        </is>
      </c>
      <c r="D51" s="2" t="inlineStr">
        <is>
          <t>FAIL</t>
        </is>
      </c>
      <c r="E51" s="2" t="inlineStr">
        <is>
          <t>Wrong. Describes produce-safety environmental sampling (112.145(c)(2), monthly) and blood-glucose-meter perturbation studies instead of 80.37's holding requirements (store to prevent composition change, keep under requester's control, mark as not for use until certified). 80.37 was not in the retrieved evidence. Fabricated = 1 (bank Instructions rule 3, invented requirement): Produce-safety sampling rule (112.145(c)(2), monthly) stated as applying to a color-certification batch.</t>
        </is>
      </c>
      <c r="F51" s="2" t="inlineStr">
        <is>
          <t>§ 80.37: immediately after the sample is taken, the batch must be (a) stored in containers that prevent a change in composition; (b) held under the control of the person requesting certification until certified; and (c) marked, by labeling or otherwise, so its identity is unmistakable and it is clearly not to be used until the requested certificate is issued.</t>
        </is>
      </c>
      <c r="G51" s="3" t="n">
        <v>14.489</v>
      </c>
      <c r="H51" s="2" t="n">
        <v>1359</v>
      </c>
      <c r="I51" s="2" t="n">
        <v>146</v>
      </c>
      <c r="J51" s="2" t="inlineStr">
        <is>
          <t>Missing evidence and off-topic answer: 80.37 not retrieved; answer assembled from unrelated sampling guidance and 112.145. Review why it passed validation.</t>
        </is>
      </c>
      <c r="K51" s="2" t="inlineStr">
        <is>
          <t>Generated answer</t>
        </is>
      </c>
      <c r="L51" s="2" t="inlineStr">
        <is>
          <t>80</t>
        </is>
      </c>
    </row>
    <row r="52">
      <c r="A52" s="2" t="inlineStr">
        <is>
          <t>COS-80.38-Q1</t>
        </is>
      </c>
      <c r="B52" s="2" t="inlineStr">
        <is>
          <t>We've been notified that our batch is certified. What must we do with it next?</t>
        </is>
      </c>
      <c r="C52" s="2" t="inlineStr">
        <is>
          <t>The available regulatory sources do not provide enough information to answer this question. [4]</t>
        </is>
      </c>
      <c r="D52" s="2" t="inlineStr">
        <is>
          <t>FAIL</t>
        </is>
      </c>
      <c r="E52" s="2" t="inlineStr">
        <is>
          <t>Declined, citing 101.9(b)(5)(ix). 80.38 was not in the retrieved evidence, so the key's answer (label with the certified lot number; store to prevent composition change until packaged/labeled per 70.20 and 70.25) was not provided.</t>
        </is>
      </c>
      <c r="F52" s="2" t="inlineStr">
        <is>
          <t>§ 80.38(a): identify the batch by labeling it with the certified lot number. § 80.38(b): keep it in storage that prevents a change in composition until it is packaged and labeled as required by §§ 70.20 and 70.25; meanwhile the color additive may be used to color a food, drug, or cosmetic.</t>
        </is>
      </c>
      <c r="G52" s="3" t="n">
        <v>4.62</v>
      </c>
      <c r="H52" s="2" t="n">
        <v>1383</v>
      </c>
      <c r="I52" s="2" t="n">
        <v>18</v>
      </c>
      <c r="J52" s="2" t="inlineStr">
        <is>
          <t>Missing evidence: 80.38 not retrieved, so the system declined.</t>
        </is>
      </c>
      <c r="K52" s="2" t="inlineStr">
        <is>
          <t>Generated answer</t>
        </is>
      </c>
      <c r="L52" s="2" t="inlineStr">
        <is>
          <t>80</t>
        </is>
      </c>
    </row>
    <row r="53">
      <c r="A53" s="2" t="inlineStr">
        <is>
          <t>COS-81.30-Q1</t>
        </is>
      </c>
      <c r="B53" s="2" t="inlineStr">
        <is>
          <t>We found old certified lots of D&amp;C Red No. 19 in our warehouse. Can we use them in an externally applied lotion?</t>
        </is>
      </c>
      <c r="C53" s="2" t="inlineStr">
        <is>
          <t>The available regulatory sources do not provide enough information to answer this question. [1]</t>
        </is>
      </c>
      <c r="D53" s="2" t="inlineStr">
        <is>
          <t>FAIL</t>
        </is>
      </c>
      <c r="E53" s="2" t="inlineStr">
        <is>
          <t>Declined, citing a lead-in-cosmetics draft guidance. 81.30(r) was not in the retrieved evidence, so the key's answer (No - certificates for D&amp;C Red No. 19 cancelled, external uses after July 15, 1988) was not provided.</t>
        </is>
      </c>
      <c r="F53" s="2" t="inlineStr">
        <is>
          <t>No. § 81.30(r)(1) cancelled certificates for D&amp;C Red No. 19 and its lakes for ingested drugs and cosmetics after February 4, 1983, and (r)(4) for externally applied drugs and cosmetics after July 15, 1988. (r)(5): no market removal is required for externally applied products to which it was added on or before July 15, 1988.</t>
        </is>
      </c>
      <c r="G53" s="3" t="n">
        <v>6.113</v>
      </c>
      <c r="H53" s="2" t="n">
        <v>1402</v>
      </c>
      <c r="I53" s="2" t="n">
        <v>18</v>
      </c>
      <c r="J53" s="2" t="inlineStr">
        <is>
          <t>Missing evidence: 81.30(r) not retrieved, so the system declined.</t>
        </is>
      </c>
      <c r="K53" s="2" t="inlineStr">
        <is>
          <t>Generated answer</t>
        </is>
      </c>
      <c r="L53" s="2" t="inlineStr">
        <is>
          <t>81</t>
        </is>
      </c>
    </row>
    <row r="54">
      <c r="A54" s="2" t="inlineStr">
        <is>
          <t>COS-82.6-Q1</t>
        </is>
      </c>
      <c r="B54" s="2" t="inlineStr">
        <is>
          <t>We make an aqueous mixture of certified FD&amp;C straight colors preserved with sodium benzoate. Can it be certified for food, drug and cosmetic use?</t>
        </is>
      </c>
      <c r="C54" s="2" t="inlineStr">
        <is>
          <t>The FDA requires that certified color additives be declared by their name in the applicable regulations, unless otherwise specified. For example, a certified color additive may be listed by a specific or abbreviated name such as "FD&amp;C Blue No. 1" or "Blue 1." The declaration must include the term "Lake" for the lake of the certified color additive. Additionally, if the color additive is used in food or cosmetics, it must be declared as "Artificial Color," "Artificial Color Added," or "Color Added" (or an equivalent term). If the color additive is not subject to certification and not otherwise required by applicable regulations, it may be declared as "Artificial Color," "Artificial Color Added," or "Color Added." The requirement applies to the common or usual name of the color additive. If the color additive is for external application to shell eggs or for use in coloring a food specified in the requests for certification, the diluent (except sodium benzoate) must be removed and not become a component of the food. The requirement applies to the usual process of manufacturing such food. [4]</t>
        </is>
      </c>
      <c r="D54" s="2" t="inlineStr">
        <is>
          <t>FAIL</t>
        </is>
      </c>
      <c r="E54" s="2" t="inlineStr">
        <is>
          <t>Wrong/off-topic. Mostly describes how certified colors are declared on food labels ('Artificial Color', 'Blue 1'), attributed to 82.6(a), and never states whether the mixture can be certified. The only related fragment garbles the 82.6(a)(3) diluent exception; the key's conditions (each color from a certified batch, harmless diluents, sodium benzoate up to 0.1% in aqueous mixtures) are not given. 82.6(a) was in the retrieved evidence. Fabricated = 1 (bank Instructions rule 3, invented requirement): Food 'Artificial Color' declaration stated as required for cosmetics.</t>
        </is>
      </c>
      <c r="F54" s="2" t="inlineStr">
        <is>
          <t>§ 82.6(a): a mixture with no subpart C or D straight color may be certified if (1) each coal-tar color comes from a previously certified batch unchanged except by mixing, (2) each diluent is harmless and suitable, and (3) no nonnutritive diluent is present except resins, natural gum, pectin and, in aqueous solutions or pastes, sodium benzoate up to 1/10 of 1 percent (plus a food-processing exception).</t>
        </is>
      </c>
      <c r="G54" s="3" t="n">
        <v>24.32</v>
      </c>
      <c r="H54" s="2" t="n">
        <v>1435</v>
      </c>
      <c r="I54" s="2" t="n">
        <v>229</v>
      </c>
      <c r="J54" s="2" t="inlineStr">
        <is>
          <t>Wrong content attributed to the right section: 82.6(a) was in evidence but the answer is food-labeling text. Review citation support checking.</t>
        </is>
      </c>
      <c r="K54" s="2" t="inlineStr">
        <is>
          <t>Generated answer</t>
        </is>
      </c>
      <c r="L54" s="2" t="inlineStr">
        <is>
          <t>82</t>
        </is>
      </c>
    </row>
    <row r="55">
      <c r="A55" s="2" t="inlineStr">
        <is>
          <t>COS-82.50-Q1</t>
        </is>
      </c>
      <c r="B55" s="2" t="inlineStr">
        <is>
          <t>Can a certified FD&amp;C (subpart B) straight color batch be used in cosmetics, and what must it meet?</t>
        </is>
      </c>
      <c r="C55" s="2" t="inlineStr">
        <is>
          <t>The generated answer could not be validated against the retrieved regulatory evidence, so it is not shown. The retrieved sources were not verified to answer the question as asked, so their text is not quoted as an answer. Sources consulted: FDA Guidance: Formal Meetings Between the Food and Drug Administration and Sponsors or Requestors of Over-the-Counter Monograph Drugs (final, 2026-07-14, Docket FDA-2022-D-0080), FDA Guidance: CVM GFI #223 Small Entity Compliance Guide Declaring Color Additives in Animal Foods (final, 2013-09-27, Docket FDA-2013-D-1088), 21 CFR 82.1050, 21 CFR 82.2050, 21 CFR 82.6(a).</t>
        </is>
      </c>
      <c r="D55" s="2" t="inlineStr">
        <is>
          <t>FAIL</t>
        </is>
      </c>
      <c r="E55" s="2" t="inlineStr">
        <is>
          <t>No answer delivered: draft degenerate (truncated, invented condition) and withheld. 82.50 was not in the retrieved evidence (82.1050, 82.2050, 82.6(a), guidance), so the key's answer (subpart B batch certifiable for food, drugs and cosmetics if it meets 82.5 and subpart specs) was not provided.</t>
        </is>
      </c>
      <c r="F55" s="2" t="inlineStr">
        <is>
          <t>§ 82.50: a batch of a straight color listed in subpart B may be certified for use in food, drugs, and cosmetics if it meets § 82.5 and the subpart's specifications for that color. Cosmetic use is then governed by the color's listing and restrictions.</t>
        </is>
      </c>
      <c r="G55" s="3" t="n">
        <v>24.982</v>
      </c>
      <c r="H55" s="2" t="n">
        <v>1386</v>
      </c>
      <c r="I55" s="2" t="n">
        <v>192</v>
      </c>
      <c r="J55" s="2" t="inlineStr">
        <is>
          <t>Missing evidence: 82.50 not retrieved although neighbouring 82.1050/82.2050 were.</t>
        </is>
      </c>
      <c r="K55" s="2" t="inlineStr">
        <is>
          <t>Withheld by validator (no answer shown)</t>
        </is>
      </c>
      <c r="L55" s="2" t="inlineStr">
        <is>
          <t>82</t>
        </is>
      </c>
    </row>
    <row r="56">
      <c r="A56" s="2" t="inlineStr">
        <is>
          <t>COS-82.203-Q1</t>
        </is>
      </c>
      <c r="B56" s="2" t="inlineStr">
        <is>
          <t>We supply FD&amp;C Green No. 3 to cosmetic makers. Under Part 82, what specifications must a batch meet for certification?</t>
        </is>
      </c>
      <c r="C56" s="2" t="inlineStr">
        <is>
          <t>The generated answer could not be validated against the retrieved regulatory evidence, so it is not shown. The retrieved sources were not verified to answer the question as asked, so their text is not quoted as an answer. Sources consulted: 21 CFR 82.1206, 21 CFR 82.203, 21 CFR 82.1205, 21 CFR 82.1050, 21 CFR 82.5 and 19 more.
Evidence limit: not all of the retrieved text of 21 CFR part 82 fit in the evidence supplied for this answer (15 paragraphs left out). The answer above does not cover that text; consult the full provisions.</t>
        </is>
      </c>
      <c r="D56" s="2" t="inlineStr">
        <is>
          <t>FAIL</t>
        </is>
      </c>
      <c r="E56" s="2" t="inlineStr">
        <is>
          <t>No answer delivered: draft degenerate (truncated, repeated, invented condition) and withheld, although 82.203, 82.5 and 82.50 were in the retrieved evidence. The key's answer (conform to 74.203(a)(1) and (b); 82.5 lead/arsenic/heavy-metal limits) was not provided.</t>
        </is>
      </c>
      <c r="F56" s="2" t="inlineStr">
        <is>
          <t>§ 82.203 requires FD&amp;C Green No. 3 to conform in identity and specifications to § 74.203(a)(1) and (b). Under § 82.50 a subpart B batch may be certified if it also meets § 82.5 (lead not more than 0.001 percent, arsenic as As2O3 not more than 0.00014 percent, other heavy metals not more than trace).</t>
        </is>
      </c>
      <c r="G56" s="3" t="n">
        <v>56.254</v>
      </c>
      <c r="H56" s="2" t="n">
        <v>3059</v>
      </c>
      <c r="I56" s="2" t="n">
        <v>416</v>
      </c>
      <c r="J56" s="2" t="inlineStr">
        <is>
          <t>Answer withheld after a degenerate draft with the right evidence present. Review generation on Part 82 specification questions.</t>
        </is>
      </c>
      <c r="K56" s="2" t="inlineStr">
        <is>
          <t>Withheld by validator (no answer shown)</t>
        </is>
      </c>
      <c r="L56" s="2" t="inlineStr">
        <is>
          <t>82</t>
        </is>
      </c>
    </row>
    <row r="57">
      <c r="A57" s="2" t="inlineStr">
        <is>
          <t>COS-82.304-Q1</t>
        </is>
      </c>
      <c r="B57" s="2" t="inlineStr">
        <is>
          <t>We supply FD&amp;C Red No. 4 to cosmetic makers. Under Part 82, what specifications must a batch meet for certification, and is its use restricted?</t>
        </is>
      </c>
      <c r="C57" s="2" t="inlineStr">
        <is>
          <t>The generated answer could not be validated against the retrieved regulatory evidence, so it is not shown. The retrieved sources were not verified to answer the question as asked, so their text is not quoted as an answer. Sources consulted: 21 CFR 82.1050, 21 CFR 82.5, 21 CFR 82.5(a), 21 CFR 82.5(b), 21 CFR 82.2050 and 19 more.
Evidence limit: not all of the retrieved text of 21 CFR part 82 fit in the evidence supplied for this answer (17 paragraphs left out). The answer above does not cover that text; consult the full provisions.</t>
        </is>
      </c>
      <c r="D57" s="2" t="inlineStr">
        <is>
          <t>FAIL</t>
        </is>
      </c>
      <c r="E57" s="2" t="inlineStr">
        <is>
          <t>No answer delivered: draft degenerate and withheld, although 82.304 and 82.50 were in the retrieved evidence. The key's answer (74.1304 specs; restricted to externally applied drugs and cosmetics; 82.5 limits) was not provided.</t>
        </is>
      </c>
      <c r="F57" s="2" t="inlineStr">
        <is>
          <t>§ 82.304 requires FD&amp;C Red No. 4 to conform in identity and specifications to § 74.1304(a)(1) and (b). § 82.304 also restricts it to use in externally applied drugs and cosmetics. Under § 82.50 a subpart B batch may be certified if it also meets § 82.5 (lead not more than 0.001 percent, arsenic as As2O3 not more than 0.00014 percent, other heavy metals not more than trace).</t>
        </is>
      </c>
      <c r="G57" s="3" t="n">
        <v>38.853</v>
      </c>
      <c r="H57" s="2" t="n">
        <v>3082</v>
      </c>
      <c r="I57" s="2" t="n">
        <v>336</v>
      </c>
      <c r="J57" s="2" t="inlineStr">
        <is>
          <t>Answer withheld after a degenerate draft with the right evidence present.</t>
        </is>
      </c>
      <c r="K57" s="2" t="inlineStr">
        <is>
          <t>Withheld by validator (no answer shown)</t>
        </is>
      </c>
      <c r="L57" s="2" t="inlineStr">
        <is>
          <t>82</t>
        </is>
      </c>
    </row>
    <row r="58">
      <c r="A58" s="2" t="inlineStr">
        <is>
          <t>COS-82.1104-Q1</t>
        </is>
      </c>
      <c r="B58" s="2" t="inlineStr">
        <is>
          <t>We're a small brand formulating a tinted lip balm. Can we use D&amp;C Blue No. 4 in it, and what does the regulation require of the color itself?</t>
        </is>
      </c>
      <c r="C58" s="2" t="inlineStr">
        <is>
          <t>The regulation requires that color additives in products be declared by their name listed in the applicable regulation, unless otherwise specified. For example, a certified color additive may be listed by a specific or abbreviated name such as "FD&amp;C Blue No. 1" or "Blue 1." Additionally, the declaration must include the term "Lake" for the lake of the certified color additive. If the color additive is not subject to certification, it may be declared as "Artificial Color," "Artificial Color Added," or "Color Added" (or by an equally informative term). If the color additive is replaced, the new color additive must conform to the regulations. The requirement applies to products formulated as a lip protectant, and the statement may be followed by optional statements about protecting from drying effects. [1][4]</t>
        </is>
      </c>
      <c r="D58" s="2" t="inlineStr">
        <is>
          <t>FAIL</t>
        </is>
      </c>
      <c r="E58" s="2" t="inlineStr">
        <is>
          <t>Wrong/off-topic. Describes how color additives are declared on labels and OTC lip-protectant statements (347.50) instead of answering. Key: No - 82.1104 restricts D&amp;C Blue No. 4 to externally applied products and 70.3(v) excludes lips. 82.1104 was not in the retrieved evidence. Fabricated = 1 (bank Instructions rule 3, invented requirement): Food/OTC lip-protectant declaration rules stated as the regulation's requirement for the lip balm.</t>
        </is>
      </c>
      <c r="F58" s="2" t="inlineStr">
        <is>
          <t>No. 21 CFR 82.1104 restricts D&amp;C Blue No. 4 to use in externally applied drugs and cosmetics. A tinted lip balm is applied to the lips or a mucous-membrane surface, which 70.3(v) excludes from 'externally applied'. The color must also conform to § 74.1104(a)(1) and (b).</t>
        </is>
      </c>
      <c r="G58" s="3" t="n">
        <v>18.72</v>
      </c>
      <c r="H58" s="2" t="n">
        <v>1475</v>
      </c>
      <c r="I58" s="2" t="n">
        <v>165</v>
      </c>
      <c r="J58" s="2" t="inlineStr">
        <is>
          <t>Missing evidence and off-topic answer: 82.1104 and 70.3(v) not retrieved.</t>
        </is>
      </c>
      <c r="K58" s="2" t="inlineStr">
        <is>
          <t>Generated answer</t>
        </is>
      </c>
      <c r="L58" s="2" t="inlineStr">
        <is>
          <t>82</t>
        </is>
      </c>
    </row>
    <row r="59">
      <c r="A59" s="2" t="inlineStr">
        <is>
          <t>COS-82.1205-Q1</t>
        </is>
      </c>
      <c r="B59" s="2" t="inlineStr">
        <is>
          <t>We're a 10-person cosmetics maker. Does 82.1205 restrict where D&amp;C Green No. 5 can go, or set a limit for our shampoo?</t>
        </is>
      </c>
      <c r="C59" s="2" t="inlineStr">
        <is>
          <t>The generated answer could not be validated against the retrieved regulatory evidence, so it is not shown. The retrieved sources were not verified to answer the question as asked, so their text is not quoted as an answer. Sources consulted: 21 CFR 82.1205.</t>
        </is>
      </c>
      <c r="D59" s="2" t="inlineStr">
        <is>
          <t>FAIL</t>
        </is>
      </c>
      <c r="E59" s="2" t="inlineStr">
        <is>
          <t>No answer delivered: the draft refused despite evidence and was withheld. 82.1205 was the only source retrieved. The key's answer (one sentence: conform to 74.1205(a)(1) and (b)(2); no use restriction or limit; 82.1050 drugs-and-cosmetics certification) was not provided.</t>
        </is>
      </c>
      <c r="F59" s="2" t="inlineStr">
        <is>
          <t>21 CFR 82.1205 contains one sentence: D&amp;C Green No. 5 shall conform in identity and specifications to § 74.1205(a)(1) and (b)(2). It states no use restriction or quantitative limit. Under 82.1050 a batch of a straight color listed in Subpart C may be certified for use only in drugs and cosmetics if it conforms to 82.5 and the subpart specifications.</t>
        </is>
      </c>
      <c r="G59" s="3" t="n">
        <v>2.347</v>
      </c>
      <c r="H59" s="2" t="n">
        <v>700</v>
      </c>
      <c r="I59" s="2" t="n">
        <v>17</v>
      </c>
      <c r="J59" s="2" t="inlineStr">
        <is>
          <t>Answer withheld with the exact section in evidence (82.1205); 82.1050 not retrieved. Review refusal-with-evidence behaviour on 'does X restrict' questions.</t>
        </is>
      </c>
      <c r="K59" s="2" t="inlineStr">
        <is>
          <t>Withheld by validator (no answer shown)</t>
        </is>
      </c>
      <c r="L59" s="2" t="inlineStr">
        <is>
          <t>82</t>
        </is>
      </c>
    </row>
    <row r="60">
      <c r="A60" s="2" t="inlineStr">
        <is>
          <t>COS-82.1206-Q1</t>
        </is>
      </c>
      <c r="B60" s="2" t="inlineStr">
        <is>
          <t>We're a small brand formulating a hair pomade. Can we use D&amp;C Green No. 6 in it, and what does the regulation require of the color itself?</t>
        </is>
      </c>
      <c r="C60" s="2" t="inlineStr">
        <is>
          <t>The regulation requires that color additives in hair pomades be declared by their name or abbreviated name, with the "FD&amp;C" prefix or "No." not required. Additionally, the regulation requires that color additives not subject to certification be declared as "Artificial Color," "Artificial Color Added," or "Color Added" (or an equivalent term). The information required for hair coloring preparations is specified in 21 CFR 720.4(c)(6) [1] [4].</t>
        </is>
      </c>
      <c r="D60" s="2" t="inlineStr">
        <is>
          <t>FAIL</t>
        </is>
      </c>
      <c r="E60" s="2" t="inlineStr">
        <is>
          <t>Wrong/off-topic. Describes label declaration of color additives and points to hair-coloring labeling (720.4(c)(6)); never says whether D&amp;C Green No. 6 may be used in a pomade. Key: within the externally-applied restriction; conform to 74.1206. 82.1206 was not in the retrieved evidence. Fabricated = 1 (bank Instructions rule 3, invented requirement): Food color-declaration rules stated as required for hair pomades.</t>
        </is>
      </c>
      <c r="F60" s="2" t="inlineStr">
        <is>
          <t>Within the restriction. 21 CFR 82.1206 restricts D&amp;C Green No. 6 to use in externally applied drugs and cosmetics; a hair pomade applied only to external parts of the body fits that (70.3(v)). The color must conform in identity and specifications to § 74.1206(a) and (b). The section sets no quantitative limit.</t>
        </is>
      </c>
      <c r="G60" s="3" t="n">
        <v>13.135</v>
      </c>
      <c r="H60" s="2" t="n">
        <v>1432</v>
      </c>
      <c r="I60" s="2" t="n">
        <v>111</v>
      </c>
      <c r="J60" s="2" t="inlineStr">
        <is>
          <t>Missing evidence and off-topic answer: 82.1206 not retrieved.</t>
        </is>
      </c>
      <c r="K60" s="2" t="inlineStr">
        <is>
          <t>Generated answer</t>
        </is>
      </c>
      <c r="L60" s="2" t="inlineStr">
        <is>
          <t>82</t>
        </is>
      </c>
    </row>
    <row r="61">
      <c r="A61" s="2" t="inlineStr">
        <is>
          <t>COS-82.1254-Q1</t>
        </is>
      </c>
      <c r="B61" s="2" t="inlineStr">
        <is>
          <t>We're a small brand formulating a toothpaste. Can we use D&amp;C Orange No. 4 in it, and what does the regulation require of the color itself?</t>
        </is>
      </c>
      <c r="C61" s="2" t="inlineStr">
        <is>
          <t>The regulation requires that color additives be declared on the labels of human food, including those used in animal foods. Additionally, the regulation requires that color additives be declared on the labels of animal food, and that the color additives be declared in accordance with the FD&amp;C Act and other relevant laws. The available regulatory sources do not provide enough information to answer this question.</t>
        </is>
      </c>
      <c r="D61" s="2" t="inlineStr">
        <is>
          <t>FAIL</t>
        </is>
      </c>
      <c r="E61" s="2" t="inlineStr">
        <is>
          <t>Wrong/off-topic. Talks about declaring colors on human and animal food labels, then says the sources are insufficient. Key: No - 82.1254 restricts D&amp;C Orange No. 4 to externally applied products; toothpaste contacts mucous membrane. 82.1254 was not in the retrieved evidence.</t>
        </is>
      </c>
      <c r="F61" s="2" t="inlineStr">
        <is>
          <t>No. 21 CFR 82.1254 restricts D&amp;C Orange No. 4 to use in externally applied drugs and cosmetics. A toothpaste is applied to the lips or a mucous-membrane surface, which 70.3(v) excludes from 'externally applied'. The color must also conform to § 74.1254(a)(1) and (b).</t>
        </is>
      </c>
      <c r="G61" s="3" t="n">
        <v>10.176</v>
      </c>
      <c r="H61" s="2" t="n">
        <v>1388</v>
      </c>
      <c r="I61" s="2" t="n">
        <v>89</v>
      </c>
      <c r="J61" s="2" t="inlineStr">
        <is>
          <t>Missing evidence and off-topic answer: 82.1254 not retrieved.</t>
        </is>
      </c>
      <c r="K61" s="2" t="inlineStr">
        <is>
          <t>Generated answer</t>
        </is>
      </c>
      <c r="L61" s="2" t="inlineStr">
        <is>
          <t>82</t>
        </is>
      </c>
    </row>
    <row r="62">
      <c r="A62" s="2" t="inlineStr">
        <is>
          <t>COS-82.1317-Q1</t>
        </is>
      </c>
      <c r="B62" s="2" t="inlineStr">
        <is>
          <t>We're a small brand formulating a bath oil. Can we use D&amp;C Red No. 17 in it, and what does the regulation require of the color itself?</t>
        </is>
      </c>
      <c r="C62" s="2" t="inlineStr">
        <is>
          <t>The generated answer could not be validated against the retrieved regulatory evidence, so it is not shown. The retrieved sources were not verified to answer the question as asked, so their text is not quoted as an answer. Sources consulted: FDA Guidance: CVM GFI #223 Small Entity Compliance Guide Declaring Color Additives in Animal Foods (final, 2013-09-27, Docket FDA-2013-D-1088), FDA Guidance: Small Entity Compliance Guide: Revocation of Uses of Partially Hydrogenated Oils in Foods (final, 2024-04-29, Docket FDA-2024-D-1669), 21 CFR 720.4(c)(2)(i), 21 CFR 720.4(e).</t>
        </is>
      </c>
      <c r="D62" s="2" t="inlineStr">
        <is>
          <t>FAIL</t>
        </is>
      </c>
      <c r="E62" s="2" t="inlineStr">
        <is>
          <t>No answer delivered: draft withheld (invented condition). 82.1317 was not in the retrieved evidence (720.4, food guidance), so the key's answer (within the externally-applied restriction; 74.1317 specs; no limit) was not provided.</t>
        </is>
      </c>
      <c r="F62" s="2" t="inlineStr">
        <is>
          <t>Within the restriction. 21 CFR 82.1317 restricts D&amp;C Red No. 17 to use in externally applied drugs and cosmetics; a bath oil applied only to external parts of the body fits that (70.3(v)). The color must conform in identity and specifications to § 74.1317(a)(1) and (b). The section sets no quantitative limit.</t>
        </is>
      </c>
      <c r="G62" s="3" t="n">
        <v>17.099</v>
      </c>
      <c r="H62" s="2" t="n">
        <v>1423</v>
      </c>
      <c r="I62" s="2" t="n">
        <v>112</v>
      </c>
      <c r="J62" s="2" t="inlineStr">
        <is>
          <t>Missing evidence: 82.1317 not retrieved.</t>
        </is>
      </c>
      <c r="K62" s="2" t="inlineStr">
        <is>
          <t>Withheld by validator (no answer shown)</t>
        </is>
      </c>
      <c r="L62" s="2" t="inlineStr">
        <is>
          <t>82</t>
        </is>
      </c>
    </row>
    <row r="63">
      <c r="A63" s="2" t="inlineStr">
        <is>
          <t>COS-82.1321-Q1</t>
        </is>
      </c>
      <c r="B63" s="2" t="inlineStr">
        <is>
          <t>We're a contract manufacturer making a lipstick with D&amp;C Red No. 21. Does 82.1321 restrict that use or set a limit?</t>
        </is>
      </c>
      <c r="C63" s="2" t="inlineStr">
        <is>
          <t>[1] 21 CFR 82.1321 restricts the use of D&amp;C Red No. 21 in the production of lipstick.</t>
        </is>
      </c>
      <c r="D63" s="2" t="inlineStr">
        <is>
          <t>FAIL</t>
        </is>
      </c>
      <c r="E63" s="2" t="inlineStr">
        <is>
          <t>Wrong. States that 82.1321 'restricts the use of D&amp;C Red No. 21 in the production of lipstick'. The key: 82.1321 contains only the identity/specification sentence and states no use restriction or limit. Cites the right section but misstates its content; 82.1050 is not mentioned. Fabricated = 1 (bank Instructions rule 3, invented requirement): Invented restriction: 82.1321 'restricts the use of D&amp;C Red No. 21 in ... lipstick'.</t>
        </is>
      </c>
      <c r="F63" s="2" t="inlineStr">
        <is>
          <t>21 CFR 82.1321 contains one sentence: D&amp;C Red No. 21 shall conform in identity and specifications to § 74.1321(a)(1) and (b). It states no use restriction or quantitative limit. Under 82.1050 a batch of a straight color listed in Subpart C may be certified for use only in drugs and cosmetics if it conforms to 82.5 and the subpart specifications.</t>
        </is>
      </c>
      <c r="G63" s="3" t="n">
        <v>3.636</v>
      </c>
      <c r="H63" s="2" t="n">
        <v>695</v>
      </c>
      <c r="I63" s="2" t="n">
        <v>35</v>
      </c>
      <c r="J63" s="2" t="inlineStr">
        <is>
          <t>Unsupported claim attributed to the correct section (82.1321 in evidence). Review why a claim with low overlap with its cited source passed validation.</t>
        </is>
      </c>
      <c r="K63" s="2" t="inlineStr">
        <is>
          <t>Generated answer</t>
        </is>
      </c>
      <c r="L63" s="2" t="inlineStr">
        <is>
          <t>82</t>
        </is>
      </c>
    </row>
    <row r="64">
      <c r="A64" s="2" t="inlineStr">
        <is>
          <t>COS-82.2050-Q1</t>
        </is>
      </c>
      <c r="B64" s="2" t="inlineStr">
        <is>
          <t>Our supplier's batch was certified under Part 82 Subpart D. Can we use it in a lipstick, or only in certain products?</t>
        </is>
      </c>
      <c r="C64" s="2" t="inlineStr">
        <is>
          <t>The generated answer could not be validated against the retrieved regulatory evidence, so it is not shown. The retrieved sources were not verified to answer the question as asked, so their text is not quoted as an answer. Sources consulted: 21 CFR 82.6(a), 21 CFR 82.6(a)(1), 21 CFR 82.6(a)(2), 21 CFR 82.1050, 21 CFR 82.2050 and 19 more.
Evidence limit: not all of the retrieved text of 21 CFR part 82 fit in the evidence supplied for this answer (17 paragraphs left out). The answer above does not cover that text; consult the full provisions.</t>
        </is>
      </c>
      <c r="D64" s="2" t="inlineStr">
        <is>
          <t>FAIL</t>
        </is>
      </c>
      <c r="E64" s="2" t="inlineStr">
        <is>
          <t>No answer delivered: draft withheld (condition not in cited source, invented condition), although 82.2050 was in the retrieved evidence. The key's answer (Subpart D: externally applied drugs and cosmetics only; lips excluded under 70.3(v), so not lipstick) was not provided.</t>
        </is>
      </c>
      <c r="F64" s="2" t="inlineStr">
        <is>
          <t>Under 82.2050 a Subpart D straight color batch may be certified, under Part 82, for use in externally applied drugs and cosmetics if it conforms to 82.5 and the Subpart D specifications for that color. Under 70.3(v) the lips are not externally applied, so a lipstick is outside that certified use.</t>
        </is>
      </c>
      <c r="G64" s="3" t="n">
        <v>11.785</v>
      </c>
      <c r="H64" s="2" t="n">
        <v>3030</v>
      </c>
      <c r="I64" s="2" t="n">
        <v>57</v>
      </c>
      <c r="J64" s="2" t="inlineStr">
        <is>
          <t>Answer withheld with the right section present (82.2050); 70.3(v) not retrieved.</t>
        </is>
      </c>
      <c r="K64" s="2" t="inlineStr">
        <is>
          <t>Withheld by validator (no answer shown)</t>
        </is>
      </c>
      <c r="L64" s="2" t="inlineStr">
        <is>
          <t>82</t>
        </is>
      </c>
    </row>
    <row r="65">
      <c r="A65" s="2" t="inlineStr">
        <is>
          <t>COS-700.14-Q1</t>
        </is>
      </c>
      <c r="B65" s="2" t="inlineStr">
        <is>
          <t>Our aerosol hair spray uses vinyl chloride as a co-propellant at 2%. Is that permitted?</t>
        </is>
      </c>
      <c r="C65" s="2" t="inlineStr">
        <is>
          <t>The generated answer could not be validated against the retrieved regulatory evidence, so it is not shown. The retrieved sources were not verified to answer the question as asked, so their text is not quoted as an answer. Sources consulted: FDA Guidance: Marketing Clearance of Diagnostic Ultrasound Systems and Transducers : Guidance for Industry and Food and Drug Administration Staff (final, 2023-02-21, Docket FDA-2017-D-5372), FDA Guidance: Guidance for Industry: The Use of an Alternate Name for Potassium Chloride in Food Labeling (final, 2020-12-17, Docket FDA-2019-D-0892), 21 CFR 700.14(b), 21 CFR 310.502(a)(15).</t>
        </is>
      </c>
      <c r="D65" s="2" t="inlineStr">
        <is>
          <t>FAIL</t>
        </is>
      </c>
      <c r="E65" s="2" t="inlineStr">
        <is>
          <t>No answer delivered: draft degenerate (truncated, repeated) and withheld, although 700.14(b) was in the retrieved evidence. The key's answer (No - vinyl chloride in a cosmetic aerosol is deleterious and adulterated at any level) was not provided.</t>
        </is>
      </c>
      <c r="F65" s="2" t="inlineStr">
        <is>
          <t>No. § 700.14(a): FDA regards vinyl chloride as a deleterious substance, and any cosmetic aerosol product containing vinyl chloride as an ingredient is adulterated under section 601(a) of the act. No level is allowed. § 700.14(b): any such cosmetic aerosol product shipped within the act's jurisdiction is subject to regulatory action.</t>
        </is>
      </c>
      <c r="G65" s="3" t="n">
        <v>20.838</v>
      </c>
      <c r="H65" s="2" t="n">
        <v>1390</v>
      </c>
      <c r="I65" s="2" t="n">
        <v>224</v>
      </c>
      <c r="J65" s="2" t="inlineStr">
        <is>
          <t>Answer withheld after a degenerate draft; 700.14(b) retrieved but not (a). Review generation on prohibited-ingredient questions.</t>
        </is>
      </c>
      <c r="K65" s="2" t="inlineStr">
        <is>
          <t>Withheld by validator (no answer shown)</t>
        </is>
      </c>
      <c r="L65" s="2" t="inlineStr">
        <is>
          <t>700</t>
        </is>
      </c>
    </row>
    <row r="66">
      <c r="A66" s="2" t="inlineStr">
        <is>
          <t>COS-700.15-Q1</t>
        </is>
      </c>
      <c r="B66" s="2" t="inlineStr">
        <is>
          <t>Our antimicrobial deodorant bar formula includes tribromsalan (TBS) at 0.25%. Can we sell it?</t>
        </is>
      </c>
      <c r="C66" s="2" t="inlineStr">
        <is>
          <t>The available regulatory sources do not provide enough information to answer this question. [1]</t>
        </is>
      </c>
      <c r="D66" s="2" t="inlineStr">
        <is>
          <t>FAIL</t>
        </is>
      </c>
      <c r="E66" s="2" t="inlineStr">
        <is>
          <t>Declined ('sources do not provide enough information'), citing an infant-formula guidance, although 700.15 was in the retrieved evidence. Key: No - tribromsalan in a cosmetic at any level makes it adulterated under 601(a).</t>
        </is>
      </c>
      <c r="F66" s="2" t="inlineStr">
        <is>
          <t>No. § 700.15(b): tribromsalan, dibromsalan, metabromsalan and 3,3',4,5'-tetrachlorosalicylanilide are deleterious, and any cosmetic containing one of them as an ingredient, at any level and for any purpose, is adulterated under section 601(a). § 700.15(c): such cosmetics first introduced into interstate commerce after December 1, 1975 that do not comply are subject to regulatory action.</t>
        </is>
      </c>
      <c r="G66" s="3" t="n">
        <v>4.047</v>
      </c>
      <c r="H66" s="2" t="n">
        <v>1449</v>
      </c>
      <c r="I66" s="2" t="n">
        <v>18</v>
      </c>
      <c r="J66" s="2" t="inlineStr">
        <is>
          <t>Declined with the right section in evidence (700.15). Review refusal-with-evidence on prohibited-ingredient questions.</t>
        </is>
      </c>
      <c r="K66" s="2" t="inlineStr">
        <is>
          <t>Generated answer</t>
        </is>
      </c>
      <c r="L66" s="2" t="inlineStr">
        <is>
          <t>700</t>
        </is>
      </c>
    </row>
    <row r="67">
      <c r="A67" s="2" t="inlineStr">
        <is>
          <t>COS-700.18-Q1</t>
        </is>
      </c>
      <c r="B67" s="2" t="inlineStr">
        <is>
          <t>We use chloroform as an extraction solvent for a botanical extract, and traces remain in our cream. Is the cream adulterated under the chloroform rule?</t>
        </is>
      </c>
      <c r="C67"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New Dietary Ingredient Notifications and Related Issues (draft, 2024-04-03, Docket FDA-2011-D-0376), FDA Guidance: Saline, Silicone Gel, and Alternative Breast Implants: Guidance for Industry and FDA Staff (final, 2020-09-29, Docket FDA-2004-D-0124), 21 CFR 700.18(b).</t>
        </is>
      </c>
      <c r="D67" s="2" t="inlineStr">
        <is>
          <t>FAIL</t>
        </is>
      </c>
      <c r="E67" s="2" t="inlineStr">
        <is>
          <t>No answer delivered: draft withheld (invented condition, unsupported claim), although 700.18(b) - which contains the processing-solvent residue exclusion - was in the retrieved evidence. The key's answer (residue alone does not make chloroform an ingredient) was not provided.</t>
        </is>
      </c>
      <c r="F67" s="2" t="inlineStr">
        <is>
          <t>Not on the residue alone. § 700.18(b): any cosmetic containing chloroform as an ingredient is adulterated and subject to regulatory action under sections 301 and 601(a). Chloroform remaining as a residue from its use as a processing solvent during manufacture, or as a byproduct of synthesis of an ingredient, is not considered an ingredient for purposes of this section.</t>
        </is>
      </c>
      <c r="G67" s="3" t="n">
        <v>11.996</v>
      </c>
      <c r="H67" s="2" t="n">
        <v>1410</v>
      </c>
      <c r="I67" s="2" t="n">
        <v>117</v>
      </c>
      <c r="J67" s="2" t="inlineStr">
        <is>
          <t>Answer withheld with the exact paragraph present (700.18(b)).</t>
        </is>
      </c>
      <c r="K67" s="2" t="inlineStr">
        <is>
          <t>Withheld by validator (no answer shown)</t>
        </is>
      </c>
      <c r="L67" s="2" t="inlineStr">
        <is>
          <t>700</t>
        </is>
      </c>
    </row>
    <row r="68">
      <c r="A68" s="2" t="inlineStr">
        <is>
          <t>COS-700.25-Q2</t>
        </is>
      </c>
      <c r="B68" s="2" t="inlineStr">
        <is>
          <t>Our vaginal product's container can't accept a seal. Can we get an exemption from the tamper-resistant rule, and how?</t>
        </is>
      </c>
      <c r="C68"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Application of the “Solely Engaged” Exemptions in Parts 117 and 507 (draft, 2017-10-20, Docket FDA-2017-D-6133), FDA Guidance: Acceptance Review for De Novo Classification Requests: Guidance for Industry and Food and Drug Administration Staff (final, 2021-10-05, Docket FDA-2017-D-6069), 21 CFR 700.25(a).</t>
        </is>
      </c>
      <c r="D68" s="2" t="inlineStr">
        <is>
          <t>FAIL</t>
        </is>
      </c>
      <c r="E68" s="2" t="inlineStr">
        <is>
          <t>No answer delivered: draft withheld (unsupported claim). Only 700.25(a) was retrieved, not (d), so the key's exemption procedure (citizen petition under 10.30, marked envelope, required contents) was not provided.</t>
        </is>
      </c>
      <c r="F68" s="2" t="inlineStr">
        <is>
          <t>§ 700.25(d): submit a citizen petition under § 10.30, with the envelope marked 'Request for Exemption from Tamper-resistant Rule.' It must include the product name; the reasons compliance is unnecessary or cannot be achieved; the alternative steps available or already taken to reduce the likelihood of malicious adulteration; and other information justifying the exemption. No grant is assured.</t>
        </is>
      </c>
      <c r="G68" s="3" t="n">
        <v>12.246</v>
      </c>
      <c r="H68" s="2" t="n">
        <v>1345</v>
      </c>
      <c r="I68" s="2" t="n">
        <v>127</v>
      </c>
      <c r="J68" s="2" t="inlineStr">
        <is>
          <t>Missing evidence: 700.25(d) not retrieved (only (a)).</t>
        </is>
      </c>
      <c r="K68" s="2" t="inlineStr">
        <is>
          <t>Withheld by validator (no answer shown)</t>
        </is>
      </c>
      <c r="L68" s="2" t="inlineStr">
        <is>
          <t>700</t>
        </is>
      </c>
    </row>
    <row r="69">
      <c r="A69" s="2" t="inlineStr">
        <is>
          <t>COS-700.35-Q1</t>
        </is>
      </c>
      <c r="B69" s="2" t="inlineStr">
        <is>
          <t>Our tinted moisturizer contains a UV filter only to protect the formula's color, and the label says 'with sunscreen.' How do we keep it a cosmetic?</t>
        </is>
      </c>
      <c r="C69"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Lead in Cosmetic Lip Products and Externally Applied Cosmetics: Recommended Maximum Level (draft, 2016-12-22, Docket FDA-2014-D-2275), 21 CFR 740.19.</t>
        </is>
      </c>
      <c r="D69" s="2" t="inlineStr">
        <is>
          <t>FAIL</t>
        </is>
      </c>
      <c r="E69" s="2" t="inlineStr">
        <is>
          <t>No answer delivered: draft withheld. 700.35 was not in the retrieved evidence (lead-in-cosmetics guidance, 740.19), so the key's answer (qualify 'sunscreen' with the cosmetic benefit, prominently, e.g. 'Contains a sunscreen—to protect product color') was not provided.</t>
        </is>
      </c>
      <c r="F69" s="2" t="inlineStr">
        <is>
          <t>§ 700.35(a): using 'sunscreen' or similar terms, or suggesting the product prevents or treats disease or affects body structure or function, makes it a drug under section 201(g)(1). A cosmetic with a sunscreen ingredient that uses such a term must qualify it by describing the cosmetic benefit. (b): the qualifier must appear prominently and conspicuously at least once with the term, e.g., 'Contains a sunscreen—to protect product color.'</t>
        </is>
      </c>
      <c r="G69" s="3" t="n">
        <v>9.638</v>
      </c>
      <c r="H69" s="2" t="n">
        <v>1332</v>
      </c>
      <c r="I69" s="2" t="n">
        <v>92</v>
      </c>
      <c r="J69" s="2" t="inlineStr">
        <is>
          <t>Missing evidence: 700.35 not retrieved.</t>
        </is>
      </c>
      <c r="K69" s="2" t="inlineStr">
        <is>
          <t>Withheld by validator (no answer shown)</t>
        </is>
      </c>
      <c r="L69" s="2" t="inlineStr">
        <is>
          <t>700</t>
        </is>
      </c>
    </row>
    <row r="70">
      <c r="A70" s="2" t="inlineStr">
        <is>
          <t>COS-701.3-Q1</t>
        </is>
      </c>
      <c r="B70" s="2" t="inlineStr">
        <is>
          <t>We're designing a 4 oz lotion bottle. What must our ingredient list look like in terms of order and type size?</t>
        </is>
      </c>
      <c r="C70" s="2" t="inlineStr">
        <is>
          <t>[1] The ingredient list must be specified for each brand and subbrand of tobacco product, with each listed ingredient uniquely identified to distinguish it from similar or related materials. [1] The ingredient list must be presented in order of percent of ingredient component (highest to lowest). [2] A manufacturer shall design and implement a sampling plan that includes collection of probability samples of adequate size to yield consistent tolerance intervals such that the probability is 90 percent that at least 90 percent of the absorbencies of individual tampons within a brand and type are within the range of absorbency stated on the package label. [4] The information necessary to uniquely identify an ingredient varies based upon the type of ingredient as discussed below.</t>
        </is>
      </c>
      <c r="D70" s="2" t="inlineStr">
        <is>
          <t>FAIL</t>
        </is>
      </c>
      <c r="E70" s="2" t="inlineStr">
        <is>
          <t>Wrong. Answers from tobacco-product ingredient-listing guidance and tampon absorbency rules (801.430). The key: 701.3(a) descending order of predominance, (b) letters at least 1/16 inch on an information panel, (f) the 1% alternative ordering. 701.3 was not in the retrieved evidence. Fabricated = 1 (bank Instructions rule 3, invented requirement): Tobacco ingredient-listing and tampon sampling-plan requirements stated as the lotion's ingredient-list requirements.</t>
        </is>
      </c>
      <c r="F70" s="2" t="inlineStr">
        <is>
          <t>§ 701.3(a): each ingredient named in descending order of predominance. (b): on an appropriate information panel, prominent enough to be read under customary purchase conditions, in letters not less than 1/16 inch in height, without obscuring design or crowding. (f) alternative: non-color ingredients above 1% in descending order, then those at or below 1% in any order, then color additives in any order.</t>
        </is>
      </c>
      <c r="G70" s="3" t="n">
        <v>13.486</v>
      </c>
      <c r="H70" s="2" t="n">
        <v>1351</v>
      </c>
      <c r="I70" s="2" t="n">
        <v>146</v>
      </c>
      <c r="J70" s="2" t="inlineStr">
        <is>
          <t>Missing evidence and off-topic answer: 701.3 not retrieved (tobacco and tampon sources instead); answer passed validation.</t>
        </is>
      </c>
      <c r="K70" s="2" t="inlineStr">
        <is>
          <t>Generated answer</t>
        </is>
      </c>
      <c r="L70" s="2" t="inlineStr">
        <is>
          <t>701</t>
        </is>
      </c>
    </row>
    <row r="71">
      <c r="A71" s="2" t="inlineStr">
        <is>
          <t>COS-701.9-Q1</t>
        </is>
      </c>
      <c r="B71" s="2" t="inlineStr">
        <is>
          <t>We ship unlabeled bulk shampoo to an unaffiliated contract filler who labels and packs it. Must the bulk drums carry full consumer labeling?</t>
        </is>
      </c>
      <c r="C71" s="2" t="inlineStr">
        <is>
          <t>The bulk drums must carry full consumer labeling as required by the FDA. The requirements include minimum 6-point type labeling for FDA-approved patient labeling, 8-point type labeling for other labelings, and 10-point type labeling for promotional materials. These requirements apply to food and dietary supplements shipped in bulk form, excluding those for distribution to consumers. [1][4]</t>
        </is>
      </c>
      <c r="D71" s="2" t="inlineStr">
        <is>
          <t>FAIL</t>
        </is>
      </c>
      <c r="E71" s="2" t="inlineStr">
        <is>
          <t>Wrong. Says the bulk drums must carry full consumer labeling and quotes prescription-drug labeling type sizes and food bulk rules. Key: exempt in transit under 701.9(a) if, for an unaffiliated filler, a signed written agreement per (a)(2) exists. 701.9 was not in the retrieved evidence. Fabricated = 1 (bank Instructions rule 3, invented requirement): Invented requirement: bulk drums 'must carry full consumer labeling' with drug type sizes.</t>
        </is>
      </c>
      <c r="F71" s="2" t="inlineStr">
        <is>
          <t>Not if § 701.9(a) is met. A shipment to be processed, labeled or repacked in substantial quantity at another establishment is exempt from the labeling requirements of sections 601(a) and 602(b) in transit and while held there. Because you don't operate the filler, (a)(2) requires a written agreement signed by both parties, with post office addresses, specifying processing, labeling or repacking that ensures the cosmetic won't be adulterated or misbranded.</t>
        </is>
      </c>
      <c r="G71" s="3" t="n">
        <v>8.728</v>
      </c>
      <c r="H71" s="2" t="n">
        <v>1375</v>
      </c>
      <c r="I71" s="2" t="n">
        <v>76</v>
      </c>
      <c r="J71" s="2" t="inlineStr">
        <is>
          <t>Missing evidence and materially wrong conclusion: 701.9 not retrieved; answer would lead to unnecessary labeling and misses the written-agreement condition.</t>
        </is>
      </c>
      <c r="K71" s="2" t="inlineStr">
        <is>
          <t>Generated answer</t>
        </is>
      </c>
      <c r="L71" s="2" t="inlineStr">
        <is>
          <t>701</t>
        </is>
      </c>
    </row>
    <row r="72">
      <c r="A72" s="2" t="inlineStr">
        <is>
          <t>COS-701.12-Q2</t>
        </is>
      </c>
      <c r="B72" s="2" t="inlineStr">
        <is>
          <t>Can we leave our street address off the label and show only city, state and ZIP?</t>
        </is>
      </c>
      <c r="C72" s="2" t="inlineStr">
        <is>
          <t>The available regulatory sources do not provide enough information to answer this question. [3]</t>
        </is>
      </c>
      <c r="D72" s="2" t="inlineStr">
        <is>
          <t>FAIL</t>
        </is>
      </c>
      <c r="E72" s="2" t="inlineStr">
        <is>
          <t>Declined, citing the food rule 101.5(d). 701.12(d) was not in the retrieved evidence, so the key's answer (street address may be omitted only if listed in a current city or telephone directory) was not provided.</t>
        </is>
      </c>
      <c r="F72" s="2" t="inlineStr">
        <is>
          <t>Only in one case. § 701.12(d): the place of business includes the street address, city, State and ZIP Code, but the street address may be omitted if it is shown in a current city directory or telephone directory. The ZIP Code requirement applies to consumer commodity labels developed or revised after the section's effective date.</t>
        </is>
      </c>
      <c r="G72" s="3" t="n">
        <v>3.99</v>
      </c>
      <c r="H72" s="2" t="n">
        <v>1364</v>
      </c>
      <c r="I72" s="2" t="n">
        <v>18</v>
      </c>
      <c r="J72" s="2" t="inlineStr">
        <is>
          <t>Missing evidence: 701.12(d) not retrieved (food analogue 101.5(d) instead), so the system declined.</t>
        </is>
      </c>
      <c r="K72" s="2" t="inlineStr">
        <is>
          <t>Generated answer</t>
        </is>
      </c>
      <c r="L72" s="2" t="inlineStr">
        <is>
          <t>701</t>
        </is>
      </c>
    </row>
    <row r="73">
      <c r="A73" s="2" t="inlineStr">
        <is>
          <t>COS-701.13-G1</t>
        </is>
      </c>
      <c r="B73" s="2" t="inlineStr">
        <is>
          <t>We sell lipstick in a decorative compact-style case and a 0.15 oz lip balm. Where must the net quantity declaration go, and do the small containers give us any alternatives?</t>
        </is>
      </c>
      <c r="C73" s="2" t="inlineStr">
        <is>
          <t>The generated answer could not be validated against the retrieved regulatory evidence, so it is not shown. The retrieved sources were not verified to answer the question as asked, so their text is not quoted as an answer. Sources consulted: FDA Guidance: Safety Considerations for Container Labels and Carton Labeling Design to Minimize Medication Errors (final, 2022-05-18, Docket FDA-2013-D-0401), FDA Guidance: Draft Guidance for Industry: Hazard Analysis and Risk-Based Preventive Controls for Human Food (draft, 2024-01-30, Docket FDA-2016-D-2343), 21 CFR 701.13(e)(1).</t>
        </is>
      </c>
      <c r="D73" s="2" t="inlineStr">
        <is>
          <t>FAIL</t>
        </is>
      </c>
      <c r="E73" s="2" t="inlineStr">
        <is>
          <t>No answer delivered: draft withheld (unsupported claim), although 701.13(e)(1) - the decorative-container / one-fourth-ounce tear-away-tag provision - was in the retrieved evidence. The key's answer was not provided.</t>
        </is>
      </c>
      <c r="F73" s="2" t="inlineStr">
        <is>
          <t>§ 701.13(e): the declaration must be on the principal display panel and duplicated on each alternate principal display panel. (e)(1): for boudoir-type decorative containers (cartridge, pill box, compact or pencil) and containers of one-fourth ounce or less capacity, the PDP may be a tear-away tag or tape affixed to the decorative container, bearing the mandatory label information; type size is governed by the container's dimensions.</t>
        </is>
      </c>
      <c r="G73" s="3" t="n">
        <v>13.906</v>
      </c>
      <c r="H73" s="2" t="n">
        <v>1355</v>
      </c>
      <c r="I73" s="2" t="n">
        <v>145</v>
      </c>
      <c r="J73" s="2" t="inlineStr">
        <is>
          <t>Answer withheld with the exact paragraph present (701.13(e)(1)).</t>
        </is>
      </c>
      <c r="K73" s="2" t="inlineStr">
        <is>
          <t>Withheld by validator (no answer shown)</t>
        </is>
      </c>
      <c r="L73" s="2" t="inlineStr">
        <is>
          <t>701</t>
        </is>
      </c>
    </row>
    <row r="74">
      <c r="A74" s="2" t="inlineStr">
        <is>
          <t>COS-720.3-Q1</t>
        </is>
      </c>
      <c r="B74" s="2" t="inlineStr">
        <is>
          <t>How do we get Form FDA 2512 and where do we send it once it's completed?</t>
        </is>
      </c>
      <c r="C74" s="2" t="inlineStr">
        <is>
          <t>The generated answer could not be validated against the retrieved regulatory evidence, so it is not shown. The retrieved sources were not verified to answer the question as asked, so their text is not quoted as an answer. Sources consulted: FDA Guidance: Annual Status Report Information and Other Submissions for Postmarketing Requirements and Commitments: Using Forms FDA 3988 and FDA 3989 Guidance for Industry: Guidance for Industry (final, 2023-09-15, Docket FDA-2018-N-3771), FDA Guidance: Draft Guidance for Industry: Hazard Analysis and Risk-Based Preventive Controls for Human Food (draft, 2024-01-30, Docket FDA-2016-D-2343), 21 CFR 101.11(d)(4)(i), 21 CFR 101.8(d)(3)(v).</t>
        </is>
      </c>
      <c r="D74" s="2" t="inlineStr">
        <is>
          <t>FAIL</t>
        </is>
      </c>
      <c r="E74" s="2" t="inlineStr">
        <is>
          <t>No answer delivered: draft withheld (unsupported figure, invented condition). 720.3 was not in the retrieved evidence (drug postmarketing form guidance, food rules), so the key's answer (forms obtainable from FDA College Park or district offices; mail to Cosmetic Product Statement, FDA, College Park) was not provided.</t>
        </is>
      </c>
      <c r="F74" s="2" t="inlineStr">
        <is>
          <t>720.3: Forms FDA 2512 and FDA 2514 ('Discontinuance of Commercial Distribution of Cosmetic Product Formulation') are obtainable on request from FDA, 5001 Campus Dr., College Park, MD 20740, or at any FDA district office. The completed form should be mailed or delivered to: Cosmetic Product Statement, Food and Drug Administration, 5001 Campus Dr., College Park, MD 20740, according to the instructions provided with the forms.</t>
        </is>
      </c>
      <c r="G74" s="3" t="n">
        <v>20.759</v>
      </c>
      <c r="H74" s="2" t="n">
        <v>1536</v>
      </c>
      <c r="I74" s="2" t="n">
        <v>200</v>
      </c>
      <c r="J74" s="2" t="inlineStr">
        <is>
          <t>Missing evidence: 720.3 not retrieved.</t>
        </is>
      </c>
      <c r="K74" s="2" t="inlineStr">
        <is>
          <t>Withheld by validator (no answer shown)</t>
        </is>
      </c>
      <c r="L74" s="2" t="inlineStr">
        <is>
          <t>720</t>
        </is>
      </c>
    </row>
    <row r="75">
      <c r="A75" s="2" t="inlineStr">
        <is>
          <t>COS-720.7-Q1</t>
        </is>
      </c>
      <c r="B75" s="2" t="inlineStr">
        <is>
          <t>We mailed our Form FDA 2512 for a hand cream. What will we get back from FDA, and how will we know if something was missing?</t>
        </is>
      </c>
      <c r="C75"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Hazard Analysis and Risk-Based Preventive Controls for Human Food (draft, 2024-01-30, Docket FDA-2016-D-2343), FDA Guidance: Annual Status Report Information and Other Submissions for Postmarketing Requirements and Commitments: Using Forms FDA 3988 and FDA 3989 Guidance for Industry: Guidance for Industry (final, 2023-09-15, Docket FDA-2018-N-3771), 21 CFR 358.650(d)(5).</t>
        </is>
      </c>
      <c r="D75" s="2" t="inlineStr">
        <is>
          <t>FAIL</t>
        </is>
      </c>
      <c r="E75" s="2" t="inlineStr">
        <is>
          <t>No answer delivered: draft withheld. 720.7 was not in the retrieved evidence, so the key's answer (permanent statement number or FDA reference number; notice of incompleteness) was not provided.</t>
        </is>
      </c>
      <c r="F75" s="2" t="inlineStr">
        <is>
          <t>720.7: on receipt, FDA will assign either a permanent cosmetic product ingredient statement number or, where a permanent number cannot be assigned, an FDA reference number. Receipt is acknowledged by sending the individual who signed the statement a notice bearing that number. If the submitter has not complied with 720.4(b)(1) and (b)(2), the person will be notified how the statement is incomplete.</t>
        </is>
      </c>
      <c r="G75" s="3" t="n">
        <v>14.763</v>
      </c>
      <c r="H75" s="2" t="n">
        <v>1482</v>
      </c>
      <c r="I75" s="2" t="n">
        <v>161</v>
      </c>
      <c r="J75" s="2" t="inlineStr">
        <is>
          <t>Missing evidence: 720.7 not retrieved.</t>
        </is>
      </c>
      <c r="K75" s="2" t="inlineStr">
        <is>
          <t>Withheld by validator (no answer shown)</t>
        </is>
      </c>
      <c r="L75" s="2" t="inlineStr">
        <is>
          <t>720</t>
        </is>
      </c>
    </row>
    <row r="76">
      <c r="A76" s="2" t="inlineStr">
        <is>
          <t>COS-720.8-Q1</t>
        </is>
      </c>
      <c r="B76" s="2" t="inlineStr">
        <is>
          <t>Our serum uses a proprietary peptide we don't want disclosed. If we file Form 2512, how do we ask FDA to keep that ingredient's identity confidential?</t>
        </is>
      </c>
      <c r="C76" s="2" t="inlineStr">
        <is>
          <t>The available regulatory sources do not provide enough information to answer this question. [4]</t>
        </is>
      </c>
      <c r="D76" s="2" t="inlineStr">
        <is>
          <t>FAIL</t>
        </is>
      </c>
      <c r="E76" s="2" t="inlineStr">
        <is>
          <t>Declined, citing 108.25(k) (acidified foods). 720.8 was not in the retrieved evidence, so the key's trade-secret request requirements (720.8(b)(1)-(6), (c)) were not provided.</t>
        </is>
      </c>
      <c r="F76" s="2" t="inlineStr">
        <is>
          <t>720.8(b): a full, well-organized statement of factual and legal grounds, with supporting data and representative unfavorable information, addressing (1) knowledge outside your business, (2) knowledge by employees and others, (3) secrecy measures, (4) value to you and competitors, (5) development effort or money, (6) ease of proper acquisition or duplication. (c): state it was not published or disclosed except per 20.81(a).</t>
        </is>
      </c>
      <c r="G76" s="3" t="n">
        <v>5.046</v>
      </c>
      <c r="H76" s="2" t="n">
        <v>1457</v>
      </c>
      <c r="I76" s="2" t="n">
        <v>18</v>
      </c>
      <c r="J76" s="2" t="inlineStr">
        <is>
          <t>Missing evidence: 720.8 not retrieved, so the system declined.</t>
        </is>
      </c>
      <c r="K76" s="2" t="inlineStr">
        <is>
          <t>Generated answer</t>
        </is>
      </c>
      <c r="L76" s="2" t="inlineStr">
        <is>
          <t>720</t>
        </is>
      </c>
    </row>
    <row r="77">
      <c r="A77" s="2" t="inlineStr">
        <is>
          <t>COS-740.11-Q1</t>
        </is>
      </c>
      <c r="B77" s="2" t="inlineStr">
        <is>
          <t>We're launching an aerosol dry shampoo. What warning must the can carry?</t>
        </is>
      </c>
      <c r="C77" s="2" t="inlineStr">
        <is>
          <t>The can must carry the following warnings: 1. WARNING: Tobacco smoke can harm your children. 2. WARNING: Tobacco smoke causes fatal lung disease in nonsmokers. 3. WARNING: Smoking causes type 2 diabetes, which raises blood sugar. 4. WARNING: Smoking reduces blood flow to the limbs, which can require amputation. 5. WARNING: Smoking causes cataracts, which can lead to blindness. 6. WARNING: Smoking causes bladder cancer, which can lead to bloody urine. 7. WARNING: Smoking reduces blood flow, which can cause erectus. [1]  
The can must also carry the following sub-requirements: 8. If applicable, print 1,000 of each required warning on batches of packages simultaneously for each print run. 9. The warnings must be displayed in sequential order for a total of 11,000 required warnings (1,000 of each required warning). [1]</t>
        </is>
      </c>
      <c r="D77" s="2" t="inlineStr">
        <is>
          <t>FAIL</t>
        </is>
      </c>
      <c r="E77" s="2" t="inlineStr">
        <is>
          <t>Wrong. Lists cigarette health warnings ('Tobacco smoke can harm your children', etc.) and cigarette print-run rules for an aerosol dry shampoo. Key: the 740.11(a)(1) aerosol warning ('Avoid spraying in eyes. Contents under pressure...') with its permitted variations. 740.11 was not in the retrieved evidence. Fabricated = 1 (bank Instructions rule 3, invented requirement): Cigarette health warnings stated as required on an aerosol dry-shampoo can.</t>
        </is>
      </c>
      <c r="F77" s="2" t="inlineStr">
        <is>
          <t>740.11(a)(1): 'Warning—Avoid spraying in eyes. Contents under pressure. Do not puncture or incinerate. Do not store at temperature above 120 °F. Keep out of reach of children.' Permitted variations: (2) children's products may add 'except under adult supervision'; (3) glass containers may use 'break' for 'puncture'; (4) 'Avoid spraying in eyes' may be deleted if not expelled as a spray. Also check (b) for halocarbon/hydrocarbon propellants.</t>
        </is>
      </c>
      <c r="G77" s="3" t="n">
        <v>18.789</v>
      </c>
      <c r="H77" s="2" t="n">
        <v>1544</v>
      </c>
      <c r="I77" s="2" t="n">
        <v>203</v>
      </c>
      <c r="J77" s="2" t="inlineStr">
        <is>
          <t>Missing evidence and badly off-topic delivered answer (cigarette warnings). Review retrieval for 'warning must the can carry' and why the validator delivered it.</t>
        </is>
      </c>
      <c r="K77" s="2" t="inlineStr">
        <is>
          <t>Generated answer</t>
        </is>
      </c>
      <c r="L77" s="2" t="inlineStr">
        <is>
          <t>740</t>
        </is>
      </c>
    </row>
    <row r="78">
      <c r="A78" s="2" t="inlineStr">
        <is>
          <t>COS-740.12-Q1</t>
        </is>
      </c>
      <c r="B78" s="2" t="inlineStr">
        <is>
          <t>We're launching an all-over body deodorant spray marketed to women for 'everywhere freshness.' Does it need a special caution?</t>
        </is>
      </c>
      <c r="C78" s="2" t="inlineStr">
        <is>
          <t>The requested provision requires that the all-over body deodorant spray marketed to women for "everywhere freshness" must be labeled with the word "hygiene" or "hygienic" to avoid misbranding under section 602(a) of the Federal Food, Drug, and Cosmetic Act. Additionally, the use of such a product must not imply medical usefulness under section 502(a) of the Act and be illegal new drugs under section 505 of the Act.</t>
        </is>
      </c>
      <c r="D78" s="2" t="inlineStr">
        <is>
          <t>FAIL</t>
        </is>
      </c>
      <c r="E78" s="2" t="inlineStr">
        <is>
          <t>Wrong. Says the spray 'must be labeled with the word hygiene or hygienic to avoid misbranding' - the opposite of 740.12(c), which says using 'hygiene' renders it misbranded - and never states the required caution. Key: yes, 740.12(a) covers all-over-body sprays and (b) requires the caution text. 740.12(a) and (c) were in the retrieved evidence; (b) was not. Fabricated = 1 (bank Instructions rule 3, invented requirement): Invented requirement: must be labeled 'hygiene'/'hygienic' (740.12(c) says that word misbrands it).</t>
        </is>
      </c>
      <c r="F78" s="2" t="inlineStr">
        <is>
          <t>Yes: 740.12(a) covers spray deodorants whose labeling suggests use in the female genital area or all over the body. (b) caution: 'Caution—For external use only. Spray at least 8 inches from skin. Do not apply to broken, irritated, or itching skin. Persistent, unusual odor or discharge may indicate conditions for which a physician should be consulted. Discontinue use immediately if rash, irritation, or discomfort develops.'</t>
        </is>
      </c>
      <c r="G78" s="3" t="n">
        <v>15.92</v>
      </c>
      <c r="H78" s="2" t="n">
        <v>1447</v>
      </c>
      <c r="I78" s="2" t="n">
        <v>151</v>
      </c>
      <c r="J78" s="2" t="inlineStr">
        <is>
          <t>Evidence inverted: 740.12(c) in evidence but misstated; 740.12(b) caution not retrieved. Review why an inverted claim passed validation.</t>
        </is>
      </c>
      <c r="K78" s="2" t="inlineStr">
        <is>
          <t>Generated answer</t>
        </is>
      </c>
      <c r="L78" s="2" t="inlineStr">
        <is>
          <t>740</t>
        </is>
      </c>
    </row>
    <row r="79">
      <c r="A79" s="2" t="inlineStr">
        <is>
          <t>COS-740.19-Q1</t>
        </is>
      </c>
      <c r="B79" s="2" t="inlineStr">
        <is>
          <t>We sell a tanning oil with no SPF and a DHA self-tanning lotion. Do either need a warning about sun exposure?</t>
        </is>
      </c>
      <c r="C79" s="2" t="inlineStr">
        <is>
          <t>The generated answer could not be validated against the retrieved regulatory evidence, so it is not shown. The retrieved sources were not verified to answer the question as asked, so their text is not quoted as an answer. Sources consulted: FDA Guidance: Submission of Plans for Cigarette Packages and Cigarette Advertisements (Revised) (final, 2024-09-12, Docket FDA-2019-D-5364), FDA Guidance: Labeling OTC Human Drug Products -- Questions and Answers (final, 2009-01-05, Docket FDA-2004-D-0437), 21 CFR 352.52(e)(1)(i), 21 CFR 352.52(e)(1)(ii).</t>
        </is>
      </c>
      <c r="D79" s="2" t="inlineStr">
        <is>
          <t>FAIL</t>
        </is>
      </c>
      <c r="E79" s="2" t="inlineStr">
        <is>
          <t>No answer delivered: draft withheld (unsupported claim). 740.19 was not in the retrieved evidence (sunscreen drug labeling 352.52, cigarette and OTC guidance), so the key's answer (both need the 'does not contain a sunscreen' warning) was not provided.</t>
        </is>
      </c>
      <c r="F79" s="2" t="inlineStr">
        <is>
          <t>Both, absent a sunscreen ingredient: 740.19 covers UV-tanning cosmetic products and color-additive tans (e.g., dihydroxyacetone). Labeling must display: 'Warning—This product does not contain a sunscreen and does not protect against sunburn. Repeated exposure of unprotected skin while tanning may increase the risk of skin aging, skin cancer, and other harmful effects to the skin even if you do not burn.'</t>
        </is>
      </c>
      <c r="G79" s="3" t="n">
        <v>15.331</v>
      </c>
      <c r="H79" s="2" t="n">
        <v>1558</v>
      </c>
      <c r="I79" s="2" t="n">
        <v>148</v>
      </c>
      <c r="J79" s="2" t="inlineStr">
        <is>
          <t>Missing evidence: 740.19 not retrieved.</t>
        </is>
      </c>
      <c r="K79" s="2" t="inlineStr">
        <is>
          <t>Withheld by validator (no answer shown)</t>
        </is>
      </c>
      <c r="L79" s="2" t="inlineStr">
        <is>
          <t>740</t>
        </is>
      </c>
    </row>
    <row r="80">
      <c r="A80" s="2" t="inlineStr">
        <is>
          <t>COS-FDCA201(i)-Q1</t>
        </is>
      </c>
      <c r="B80" s="2" t="inlineStr">
        <is>
          <t>We sell a scented body oil marketed 'to soften and beautify skin.' Is it a cosmetic under the FD&amp;C Act definition?</t>
        </is>
      </c>
      <c r="C80"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Lead in Cosmetic Lip Products and Externally Applied Cosmetics: Recommended Maximum Level (draft, 2016-12-22, Docket FDA-2014-D-2275), FDA Guidance: Guidance for Industry: Questions and Answers Regarding Food Facility Registration (Seventh Edition) (final, 2018-08-20, Docket FDA-2012-D-1002), 21 CFR 800.30(b).</t>
        </is>
      </c>
      <c r="D80" s="2" t="inlineStr">
        <is>
          <t>FAIL</t>
        </is>
      </c>
      <c r="E80" s="2" t="inlineStr">
        <is>
          <t>No answer delivered: draft withheld (unsupported claim). The key's source is FD&amp;C Act 201(i) (statute), which is not in the Regulus corpus (eCFR and FDA guidance only); the key's answer (an oil applied to beautify fits the 'cosmetic' definition; soap excluded) was not provided.</t>
        </is>
      </c>
      <c r="F80" s="2" t="inlineStr">
        <is>
          <t>FD&amp;C Act 201(i)(1): 'cosmetic' means articles intended to be rubbed, poured, sprinkled, or sprayed on, introduced into, or otherwise applied to the human body or any part thereof for cleansing, beautifying, promoting attractiveness, or altering the appearance. A body oil applied to beautify fits that intended use. The term excludes soap. No legal determination is given.</t>
        </is>
      </c>
      <c r="G80" s="3" t="n">
        <v>13.352</v>
      </c>
      <c r="H80" s="2" t="n">
        <v>1326</v>
      </c>
      <c r="I80" s="2" t="n">
        <v>117</v>
      </c>
      <c r="J80" s="2" t="inlineStr">
        <is>
          <t>Corpus gap: the statutory definition (FD&amp;C Act 201(i)) is not in the corpus; no eCFR definition was retrieved either.</t>
        </is>
      </c>
      <c r="K80" s="2" t="inlineStr">
        <is>
          <t>Withheld by validator (no answer shown)</t>
        </is>
      </c>
      <c r="L80" s="2" t="inlineStr">
        <is>
          <t>FDCA</t>
        </is>
      </c>
    </row>
    <row r="81">
      <c r="A81" s="2" t="inlineStr">
        <is>
          <t>COS-FDCA601-Q3</t>
        </is>
      </c>
      <c r="B81" s="2" t="inlineStr">
        <is>
          <t>We're a small nail polish brand using a contract manufacturer. We haven't compiled safety data. Which newer adulteration provisions should we worry about?</t>
        </is>
      </c>
      <c r="C81" s="2" t="inlineStr">
        <is>
          <t>The available regulatory sources do not provide enough information to answer this question. [1]</t>
        </is>
      </c>
      <c r="D81" s="2" t="inlineStr">
        <is>
          <t>FAIL</t>
        </is>
      </c>
      <c r="E81" s="2" t="inlineStr">
        <is>
          <t>Declined ('sources do not provide enough information'), citing a biologics contract-manufacturing guidance. The key's source is FD&amp;C Act 601(e)-(g) (statute), which is not in the Regulus corpus; the key's answer (unsafe color additive, GMP under 606, safety substantiation under 608) was not provided.</t>
        </is>
      </c>
      <c r="F81" s="2" t="inlineStr">
        <is>
          <t>601(e): adulterated if it is not a hair dye and is, bears, or contains a color additive unsafe within the meaning of 21 U.S.C. 379e(a). 601(f): if manufactured or processed under conditions not meeting the GMP requirements of 606. 601(g): if the cosmetic product, including each ingredient, does not have adequate substantiation for safety as defined in 608(c).</t>
        </is>
      </c>
      <c r="G81" s="3" t="n">
        <v>5.943</v>
      </c>
      <c r="H81" s="2" t="n">
        <v>1377</v>
      </c>
      <c r="I81" s="2" t="n">
        <v>18</v>
      </c>
      <c r="J81" s="2" t="inlineStr">
        <is>
          <t>Corpus gap: FD&amp;C Act 601(e)-(g) statute text is not in the corpus.</t>
        </is>
      </c>
      <c r="K81" s="2" t="inlineStr">
        <is>
          <t>Generated answer</t>
        </is>
      </c>
      <c r="L81" s="2" t="inlineStr">
        <is>
          <t>FDCA</t>
        </is>
      </c>
    </row>
    <row r="82">
      <c r="A82" s="2" t="inlineStr">
        <is>
          <t>COS-FDCA603-Q1</t>
        </is>
      </c>
      <c r="B82" s="2" t="inlineStr">
        <is>
          <t>We ship bulk lotion in drums to another company's plant, where it is filled and labeled. Do the drums need full consumer labeling?</t>
        </is>
      </c>
      <c r="C82" s="2" t="inlineStr">
        <is>
          <t>The available regulatory sources do not provide enough information to answer this question. [1]  
The requested provision requires that drums need full consumer labeling. [1]  
The requested provision requires that the drums need full consumer labeling. [1]</t>
        </is>
      </c>
      <c r="D82" s="2" t="inlineStr">
        <is>
          <t>FAIL</t>
        </is>
      </c>
      <c r="E82" s="2" t="inlineStr">
        <is>
          <t>Wrong. Opens by declining, then twice asserts 'the requested provision requires that drums need full consumer labeling', citing a plant-based food labeling guidance. Key: FD&amp;C Act 603 directs exemption regulations for cosmetics shipped in bulk for processing/labeling elsewhere (implemented in 701.9). The statute is not in the corpus. Fabricated = 1 (bank Instructions rule 3, invented requirement): Invented requirement: 'drums need full consumer labeling'.</t>
        </is>
      </c>
      <c r="F82" s="2" t="inlineStr">
        <is>
          <t>603 directs the Secretary to promulgate regulations exempting from any labeling requirement of the Act cosmetics that, per the practice of the trade, are to be processed, labeled, or repacked in substantial quantities at establishments other than where originally processed or packed, on condition that they are not adulterated or misbranded upon removal from that establishment. The exemption's terms are in those regulations.</t>
        </is>
      </c>
      <c r="G82" s="3" t="n">
        <v>9.628</v>
      </c>
      <c r="H82" s="2" t="n">
        <v>1399</v>
      </c>
      <c r="I82" s="2" t="n">
        <v>65</v>
      </c>
      <c r="J82" s="2" t="inlineStr">
        <is>
          <t>Corpus gap plus an invented requirement: statute not in corpus and 701.9 not retrieved; the answer asserts the opposite of the exemption.</t>
        </is>
      </c>
      <c r="K82" s="2" t="inlineStr">
        <is>
          <t>Generated answer</t>
        </is>
      </c>
      <c r="L82" s="2" t="inlineStr">
        <is>
          <t>FDCA</t>
        </is>
      </c>
    </row>
    <row r="83">
      <c r="A83" s="2" t="inlineStr">
        <is>
          <t>COS-FDCA605-Q1</t>
        </is>
      </c>
      <c r="B83" s="2" t="inlineStr">
        <is>
          <t>We're the brand owner. A U.S. consumer reported an eye infection after using our eye cream. What must we submit to FDA, and by when?</t>
        </is>
      </c>
      <c r="C83" s="2" t="inlineStr">
        <is>
          <t>The brand owner must submit a new medical information report to the FDA, which can be done electronically via the FDA Safety Reporting Portal or via Form FDA 3500A. This report is required to be submitted within 60 days of the U.S. approval of the application. If the report is not submitted, the brand owner may be required to revoke the exemption from reporting. Additionally, the brand owner must submit an annual report to the FDA, which includes two copies of the report and a completed Form FDA 2252, along with all required information during the annual reporting interval. The report must be submitted within 60 days of the U.S.</t>
        </is>
      </c>
      <c r="D83" s="2" t="inlineStr">
        <is>
          <t>FAIL</t>
        </is>
      </c>
      <c r="E83" s="2" t="inlineStr">
        <is>
          <t>Wrong. Describes drug postmarketing reporting (Form FDA 3500A, 60 days after approval, annual report with Form 2252) instead of MoCRA: the responsible person must report a serious adverse event (infection is a serious outcome) with the label within 15 business days (FD&amp;C Act 605(a), (b)(1)). The statute is not in the corpus; the answer is also cut off. Fabricated = 1 (bank Instructions rule 3, invented requirement): Drug postmarketing reporting (60 days, Form 3500A, Form 2252) stated as the cosmetic brand owner's obligation.</t>
        </is>
      </c>
      <c r="F83" s="2" t="inlineStr">
        <is>
          <t>An infection is a listed serious outcome in 604(5)(A). 605(a): the responsible person shall submit any report received of a serious adverse event associated with use in the United States of a product it manufactured, packed, or distributed. 605(b)(1): submit the report with a copy of the label on or within the retail packaging no later than 15 business days after receipt.</t>
        </is>
      </c>
      <c r="G83" s="3" t="n">
        <v>16.941</v>
      </c>
      <c r="H83" s="2" t="n">
        <v>1405</v>
      </c>
      <c r="I83" s="2" t="n">
        <v>147</v>
      </c>
      <c r="J83" s="2" t="inlineStr">
        <is>
          <t>Corpus gap and wrong regime: FD&amp;C 605 not in corpus; drug reporting rules delivered instead.</t>
        </is>
      </c>
      <c r="K83" s="2" t="inlineStr">
        <is>
          <t>Generated answer</t>
        </is>
      </c>
      <c r="L83" s="2" t="inlineStr">
        <is>
          <t>FDCA</t>
        </is>
      </c>
    </row>
    <row r="84">
      <c r="A84" s="2" t="inlineStr">
        <is>
          <t>COS-FDCA605-Q3</t>
        </is>
      </c>
      <c r="B84" s="2" t="inlineStr">
        <is>
          <t>FDA wrote asking which fragrance ingredients in our perfume may have caused a serious adverse event. Must we answer, how fast, and will it be public?</t>
        </is>
      </c>
      <c r="C84" s="2"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Adverse Event Reporting and Recordkeeping for Dietary Supplements as Required by the Dietary Supplement and Nonprescription Drug Consumer Protection Act (final, 2013-09-01, Docket FDA-2007-D-0372), 21 CFR 208.20(b)(2), 21 CFR 208.20(b)(7)(i).</t>
        </is>
      </c>
      <c r="D84" s="2" t="inlineStr">
        <is>
          <t>FAIL</t>
        </is>
      </c>
      <c r="E84" s="2" t="inlineStr">
        <is>
          <t>No answer delivered: draft degenerate and withheld. The key's source FD&amp;C Act 605(f) (fragrance ingredient list within 30 days of a written request; withheld from FOIA) is not in the corpus.</t>
        </is>
      </c>
      <c r="F84" s="2" t="inlineStr">
        <is>
          <t>605(f): if the Secretary has reasonable grounds to believe a fragrance or flavor ingredient or combination caused or contributed to a reportable serious adverse event, the Secretary may request in writing a list of such ingredients or categories of ingredients in the specific fragrances or flavors. The responsible person shall ensure it is submitted within 30 days of the request. Under FOIA it shall be withheld under 5 U.S.C. 552(b)(3).</t>
        </is>
      </c>
      <c r="G84" s="3" t="n">
        <v>13.633</v>
      </c>
      <c r="H84" s="2" t="n">
        <v>1347</v>
      </c>
      <c r="I84" s="2" t="n">
        <v>128</v>
      </c>
      <c r="J84" s="2" t="inlineStr">
        <is>
          <t>Corpus gap: FD&amp;C Act 605(f) not in corpus.</t>
        </is>
      </c>
      <c r="K84" s="2" t="inlineStr">
        <is>
          <t>Withheld by validator (no answer shown)</t>
        </is>
      </c>
      <c r="L84" s="2" t="inlineStr">
        <is>
          <t>FDCA</t>
        </is>
      </c>
    </row>
    <row r="85">
      <c r="A85" s="2" t="inlineStr">
        <is>
          <t>COS-FDCA606-Q2</t>
        </is>
      </c>
      <c r="B85" s="2" t="inlineStr">
        <is>
          <t>We're a 4-person handmade cosmetics company. How must FDA's GMP rules account for businesses our size?</t>
        </is>
      </c>
      <c r="C85" s="2" t="inlineStr">
        <is>
          <t>The FDA's GMP rules require that businesses of a certain size must account for their employees in the context of the "small business" definition. Specifically, the rules state that a business is defined as consisting of the legal entity that the facility is part of, along with any "affiliates" and "subsidiaries" determined from the perspective of the relevant facility. This means that the size of a business is determined based on the size of the legal entity and its affiliates, not just the number of employees. For example, a facility that is part of a subsidiary will have its employees counted, while a facility that is an affiliate will have its employees counted as well. The rules also specify that employees of a company that is not a subsidiary or affiliate are not counted. The sources that support this are [1][2].</t>
        </is>
      </c>
      <c r="D85" s="2" t="inlineStr">
        <is>
          <t>FAIL</t>
        </is>
      </c>
      <c r="E85" s="2" t="inlineStr">
        <is>
          <t>Wrong. Explains how employees are counted for the food 'small business' definition (Parts 117/507 guidance) and presents it as FDA's cosmetic GMP rule. Key: FD&amp;C Act 606(b) requires the GMP rules to consider business size, give flexibility and simplified requirements for smaller businesses; 612 may exempt small businesses. The statute is not in the corpus.</t>
        </is>
      </c>
      <c r="F85" s="2" t="inlineStr">
        <is>
          <t>606(b): the Secretary shall take into account the size and scope of the businesses and risks to public health; provide sufficient flexibility to be practicable for all sizes and types of facilities; and include simplified GMP requirements for smaller businesses, as appropriate, to avoid undue economic hardship, which may include longer compliance times. Separately, 612 may exempt qualifying small businesses from 606.</t>
        </is>
      </c>
      <c r="G85" s="3" t="n">
        <v>20.191</v>
      </c>
      <c r="H85" s="2" t="n">
        <v>1379</v>
      </c>
      <c r="I85" s="2" t="n">
        <v>195</v>
      </c>
      <c r="J85" s="2" t="inlineStr">
        <is>
          <t>Corpus gap: FD&amp;C 606(b)/612 not in corpus; food small-business guidance used instead.</t>
        </is>
      </c>
      <c r="K85" s="2" t="inlineStr">
        <is>
          <t>Generated answer</t>
        </is>
      </c>
      <c r="L85" s="2" t="inlineStr">
        <is>
          <t>FDCA</t>
        </is>
      </c>
    </row>
    <row r="86">
      <c r="A86" s="2" t="inlineStr">
        <is>
          <t>COS-FDCA607-Q2</t>
        </is>
      </c>
      <c r="B86" s="2" t="inlineStr">
        <is>
          <t>We're the brand owner launching 12 shades of one lipstick formula that differ only in colors. What listing do we file, and when?</t>
        </is>
      </c>
      <c r="C86" s="2" t="inlineStr">
        <is>
          <t>The generated answer could not be validated against the retrieved regulatory evidence, so it is not shown. The retrieved sources were not verified to answer the question as asked, so their text is not quoted as an answer. Sources consulted: FDA Guidance: CVM GFI #223 Small Entity Compliance Guide Declaring Color Additives in Animal Foods (final, 2013-09-27, Docket FDA-2013-D-1088), FDA Guidance: Replacing Color Additives in Approved or Marketed Drug Products: Draft Guidance for Industry (draft, 2025-05-29, Docket FDA-2025-D-0507), 21 CFR 720.4(e), 21 CFR 720.4(c)(7)(v).</t>
        </is>
      </c>
      <c r="D86" s="2" t="inlineStr">
        <is>
          <t>FAIL</t>
        </is>
      </c>
      <c r="E86" s="2" t="inlineStr">
        <is>
          <t>No answer delivered: draft withheld (unsupported figure). The key's source FD&amp;C Act 607(c) (one listing may cover shades differing only in colors; new products within 120 days; annual updates) is not in the corpus; 720.4(e) (voluntary program) was retrieved.</t>
        </is>
      </c>
      <c r="F86" s="2" t="inlineStr">
        <is>
          <t>607(c)(1): the responsible person submits, or ensures submission of, a listing for each cosmetic product. 607(c)(4)(B): one listing may cover multiple products with identical formulations or formulations differing only in colors, fragrances or flavors, or quantity of contents. 607(c)(2): new products within 120 days of marketing in interstate commerce; listings updated annually.</t>
        </is>
      </c>
      <c r="G86" s="3" t="n">
        <v>18.988</v>
      </c>
      <c r="H86" s="2" t="n">
        <v>1402</v>
      </c>
      <c r="I86" s="2" t="n">
        <v>191</v>
      </c>
      <c r="J86" s="2" t="inlineStr">
        <is>
          <t>Corpus gap: FD&amp;C Act 607(c) not in corpus.</t>
        </is>
      </c>
      <c r="K86" s="2" t="inlineStr">
        <is>
          <t>Withheld by validator (no answer shown)</t>
        </is>
      </c>
      <c r="L86" s="2" t="inlineStr">
        <is>
          <t>FDCA</t>
        </is>
      </c>
    </row>
    <row r="87">
      <c r="A87" s="2" t="inlineStr">
        <is>
          <t>COS-FDCA607-Q3</t>
        </is>
      </c>
      <c r="B87" s="2" t="inlineStr">
        <is>
          <t>FDA notified us it intends to suspend our facility registration. On what grounds can it, and what chance do we get to respond?</t>
        </is>
      </c>
      <c r="C87" s="2"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Food Facility Registration (Seventh Edition) (final, 2018-08-20, Docket FDA-2012-D-1002), FDA Guidance: Small Entity Compliance Guide: Registration of Food Facilities (final, 2018-05-29, Docket FDA-2012-D-1003), 21 CFR 1.285(k).</t>
        </is>
      </c>
      <c r="D87" s="2" t="inlineStr">
        <is>
          <t>FAIL</t>
        </is>
      </c>
      <c r="E87" s="2" t="inlineStr">
        <is>
          <t>No answer delivered: draft withheld. The key's source FD&amp;C Act 607(f) (suspension grounds, 5-business-day plan, informal hearing) is not in the corpus; food facility registration guidance and 1.285(k) were retrieved instead.</t>
        </is>
      </c>
      <c r="F87" s="2" t="inlineStr">
        <is>
          <t>607(f)(1): if a product made or processed there has a reasonable probability of causing serious adverse health consequences or death, and the Secretary reasonably believes other products may be similarly affected by a failure that cannot be isolated or is sufficiently pervasive. (f)(2): notice stating the basis; the responsible person has 5 business days to provide a plan. (f)(3): informal hearing not later than 5 business days after the order.</t>
        </is>
      </c>
      <c r="G87" s="3" t="n">
        <v>15.459</v>
      </c>
      <c r="H87" s="2" t="n">
        <v>1391</v>
      </c>
      <c r="I87" s="2" t="n">
        <v>151</v>
      </c>
      <c r="J87" s="2" t="inlineStr">
        <is>
          <t>Corpus gap: FD&amp;C Act 607(f) not in corpus.</t>
        </is>
      </c>
      <c r="K87" s="2" t="inlineStr">
        <is>
          <t>Withheld by validator (no answer shown)</t>
        </is>
      </c>
      <c r="L87" s="2" t="inlineStr">
        <is>
          <t>FDCA</t>
        </is>
      </c>
    </row>
    <row r="88">
      <c r="A88" s="2" t="inlineStr">
        <is>
          <t>COS-FDCA609-Q1</t>
        </is>
      </c>
      <c r="B88" s="2" t="inlineStr">
        <is>
          <t>Our cosmetic labels list only our Shanghai office address. Does that meet the FD&amp;C Act contact-information requirement?</t>
        </is>
      </c>
      <c r="C88" s="2" t="inlineStr">
        <is>
          <t>The generated answer could not be validated against the retrieved regulatory evidence, so it is not shown. The retrieved sources were not verified to answer the question as asked, so their text is not quoted as an answer. Sources consulted: FDA Guidance: Formal Meetings Between the Food and Drug Administration and Sponsors or Requestors of Over-the-Counter Monograph Drugs (final, 2026-07-14, Docket FDA-2022-D-0080), 21 CFR 329.100(b)(5)(i).</t>
        </is>
      </c>
      <c r="D88" s="2" t="inlineStr">
        <is>
          <t>FAIL</t>
        </is>
      </c>
      <c r="E88" s="2" t="inlineStr">
        <is>
          <t>No answer delivered: draft degenerate and withheld. The key's source FD&amp;C Act 609(a) (label must bear a domestic address, domestic phone or electronic contact; a foreign address alone does not satisfy it) is not in the corpus.</t>
        </is>
      </c>
      <c r="F88" s="2" t="inlineStr">
        <is>
          <t>609(a): each cosmetic product label shall bear a domestic address, domestic phone number, or electronic contact information, which may include a website, through which the responsible person can receive adverse event reports. A foreign address alone is not a domestic address; electronic contact information or a domestic address or phone would be needed. The statutory note sets effect 2 years after December 29, 2022.</t>
        </is>
      </c>
      <c r="G88" s="3" t="n">
        <v>12.068</v>
      </c>
      <c r="H88" s="2" t="n">
        <v>1312</v>
      </c>
      <c r="I88" s="2" t="n">
        <v>112</v>
      </c>
      <c r="J88" s="2" t="inlineStr">
        <is>
          <t>Corpus gap: FD&amp;C Act 609(a) not in corpus.</t>
        </is>
      </c>
      <c r="K88" s="2" t="inlineStr">
        <is>
          <t>Withheld by validator (no answer shown)</t>
        </is>
      </c>
      <c r="L88" s="2" t="inlineStr">
        <is>
          <t>FDCA</t>
        </is>
      </c>
    </row>
    <row r="89">
      <c r="A89" s="2" t="inlineStr">
        <is>
          <t>COS-FDCA609-Q2</t>
        </is>
      </c>
      <c r="B89" s="2" t="inlineStr">
        <is>
          <t>We sell a fragranced hair relaxer to salons only. What does 609 add to our labeling?</t>
        </is>
      </c>
      <c r="C89" s="2" t="inlineStr">
        <is>
          <t>The available regulatory sources do not provide enough information to answer this question.</t>
        </is>
      </c>
      <c r="D89" s="2" t="inlineStr">
        <is>
          <t>FAIL</t>
        </is>
      </c>
      <c r="E89" s="2" t="inlineStr">
        <is>
          <t>Declined ('sources do not provide enough information'). The key's source FD&amp;C Act 609(b)-(c) (professional-use statement; fragrance allergen labeling by regulation) is not in the corpus.</t>
        </is>
      </c>
      <c r="F89" s="2" t="inlineStr">
        <is>
          <t>609(c)(2): a cosmetic product introduced into interstate commerce and intended for use only by a professional must bear a label with a clear and prominent statement that it shall be administered or used only by licensed professionals, and must conform to labeling requirements under the Act and 15 U.S.C. 1453(a). 609(b): the label must identify each fragrance allergen included, as determined by the Secretary by regulation.</t>
        </is>
      </c>
      <c r="G89" s="3" t="n">
        <v>3.843</v>
      </c>
      <c r="H89" s="2" t="n">
        <v>1364</v>
      </c>
      <c r="I89" s="2" t="n">
        <v>15</v>
      </c>
      <c r="J89" s="2" t="inlineStr">
        <is>
          <t>Corpus gap: FD&amp;C Act 609(b)-(c) not in corpus.</t>
        </is>
      </c>
      <c r="K89" s="2" t="inlineStr">
        <is>
          <t>Generated answer</t>
        </is>
      </c>
      <c r="L89" s="2" t="inlineStr">
        <is>
          <t>FDCA</t>
        </is>
      </c>
    </row>
    <row r="90">
      <c r="A90" s="2" t="inlineStr">
        <is>
          <t>COS-FDCA613-Q2</t>
        </is>
      </c>
      <c r="B90" s="2" t="inlineStr">
        <is>
          <t>Our facility makes OTC antiperspirants and also non-drug body sprays. Do registration and GMP provisions apply to us?</t>
        </is>
      </c>
      <c r="C90" s="2"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Food Facility Registration (Seventh Edition) (final, 2018-08-20, Docket FDA-2012-D-1002), FDA Guidance: Small Entity Compliance Guide: Registration of Food Facilities (final, 2018-05-29, Docket FDA-2012-D-1003), 21 CFR 890.5525(b)(1), 21 CFR 330.12(b)(1)(v).</t>
        </is>
      </c>
      <c r="D90" s="2" t="inlineStr">
        <is>
          <t>FAIL</t>
        </is>
      </c>
      <c r="E90" s="2" t="inlineStr">
        <is>
          <t>No answer delivered: draft withheld. The key's source FD&amp;C Act 613(b) (facility making both OTC drugs and cosmetics is not exempt from 605-611 for the cosmetic-only products) is not in the corpus.</t>
        </is>
      </c>
      <c r="F90" s="2" t="inlineStr">
        <is>
          <t>613(b): a facility described in 613(a) that also manufactures or processes cosmetic products not subject to subchapter V is not exempt from 605, 606, 607, 608, 609(a), 610, and 611 with respect to those cosmetic products. So for the non-drug body sprays, those provisions apply; for the OTC antiperspirants, 613(a) exempts them.</t>
        </is>
      </c>
      <c r="G90" s="3" t="n">
        <v>17.972</v>
      </c>
      <c r="H90" s="2" t="n">
        <v>1430</v>
      </c>
      <c r="I90" s="2" t="n">
        <v>193</v>
      </c>
      <c r="J90" s="2" t="inlineStr">
        <is>
          <t>Corpus gap: FD&amp;C Act 613 not in corpus.</t>
        </is>
      </c>
      <c r="K90" s="2" t="inlineStr">
        <is>
          <t>Withheld by validator (no answer shown)</t>
        </is>
      </c>
      <c r="L90" s="2" t="inlineStr">
        <is>
          <t>FDCA</t>
        </is>
      </c>
    </row>
    <row r="91">
      <c r="A91" s="2" t="inlineStr">
        <is>
          <t>COS-FDCA614-Q2</t>
        </is>
      </c>
      <c r="B91" s="2" t="inlineStr">
        <is>
          <t>Our state is proposing to ban an ingredient in cosmetics. Does the federal preemption section stop that?</t>
        </is>
      </c>
      <c r="C91"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Lead in Cosmetic Lip Products and Externally Applied Cosmetics: Recommended Maximum Level (draft, 2016-12-22, Docket FDA-2014-D-2275), FDA Guidance: Menstrual Products - Performance Testing and Labeling Recommendations: Draft Guidance for Industry and Food and Drug Administration Staff (draft, 2025-10-28, Docket FDA-2025-D-5107), 21 CFR 100.1(f)(5)(i), 21 CFR 808.25(d).</t>
        </is>
      </c>
      <c r="D91" s="2" t="inlineStr">
        <is>
          <t>FAIL</t>
        </is>
      </c>
      <c r="E91" s="2" t="inlineStr">
        <is>
          <t>No answer delivered: draft withheld. The key's source FD&amp;C Act 614(b) (no preemption of state laws limiting a cosmetic ingredient) is not in the corpus.</t>
        </is>
      </c>
      <c r="F91" s="2" t="inlineStr">
        <is>
          <t>No. 614(b): the 2022 amendments do not preempt any State statute, public initiative, referendum, regulation, or other State action except as provided in (a), and do not preempt a State law that prohibits or limits the use or amount of an ingredient in a cosmetic product. No opinion on the specific proposal is given.</t>
        </is>
      </c>
      <c r="G91" s="3" t="n">
        <v>9.631</v>
      </c>
      <c r="H91" s="2" t="n">
        <v>1357</v>
      </c>
      <c r="I91" s="2" t="n">
        <v>93</v>
      </c>
      <c r="J91" s="2" t="inlineStr">
        <is>
          <t>Corpus gap: FD&amp;C Act 614 not in corpus.</t>
        </is>
      </c>
      <c r="K91" s="2" t="inlineStr">
        <is>
          <t>Withheld by validator (no answer shown)</t>
        </is>
      </c>
      <c r="L91" s="2" t="inlineStr">
        <is>
          <t>FDCA</t>
        </is>
      </c>
    </row>
    <row r="92">
      <c r="A92" s="2" t="inlineStr">
        <is>
          <t>UC-COS-006</t>
        </is>
      </c>
      <c r="B92" s="2" t="inlineStr">
        <is>
          <t>We make both a cosmetic face cream and an SPF 30 moisturizer on the same kettle. Are equipment cleaning and calibration requirements the same for both products?</t>
        </is>
      </c>
      <c r="C92"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Control of Listeria monocytogenes in Ready-To-Eat Foods (draft, 2017-01-17, Docket FDA-2008-D-0096), FDA Guidance: CVM GFI #253 Current Good Manufacturing Practice for Animal Cells, Tissues, and Cell- and Tissue-Based Products (final, 2022-10-20, Docket FDA-2021-D-0399), 21 CFR 201.327(i)(2)(i).</t>
        </is>
      </c>
      <c r="D92" s="2" t="inlineStr">
        <is>
          <t>FAIL</t>
        </is>
      </c>
      <c r="E92" s="2" t="inlineStr">
        <is>
          <t>No answer delivered: draft withheld. None of the key's CFR sources (700.3(b), 211.1(a), 211.67, 211.68(a), 211.160(b)(4)) were in the retrieved evidence, and FD&amp;C Act 613 is not in the corpus; the key's answer (SPF product is also a drug, so Part 211 cleaning/calibration applies) was not provided.</t>
        </is>
      </c>
      <c r="F92" s="2" t="inlineStr">
        <is>
          <t>No. The SPF moisturizer is also a drug, so Part 211 CGMP applies, including equipment cleaning (211.67) and calibration (211.68(a), 211.160(b)(4)); under 613(a) it is exempt from 605–608, 609(a), 610 and 611. 613(b): the facility's cosmetic-only products remain subject to those sections. The cosmetic-only cream has no codified cleaning/calibration rule; 601(c) applies. Shared equipment must meet drug requirements for the drug product.</t>
        </is>
      </c>
      <c r="G92" s="3" t="n">
        <v>8.688000000000001</v>
      </c>
      <c r="H92" s="2" t="n">
        <v>1371</v>
      </c>
      <c r="I92" s="2" t="n">
        <v>78</v>
      </c>
      <c r="J92" s="2" t="inlineStr">
        <is>
          <t>Missing evidence: Part 211 and 700.3 not retrieved for a drug/cosmetic shared-equipment question; statute not in corpus.</t>
        </is>
      </c>
      <c r="K92" s="2" t="inlineStr">
        <is>
          <t>Withheld by validator (no answer shown)</t>
        </is>
      </c>
      <c r="L92" s="2" t="inlineStr">
        <is>
          <t>UC-COS (Part blank)</t>
        </is>
      </c>
    </row>
    <row r="93">
      <c r="A93" s="2" t="inlineStr">
        <is>
          <t>UC-COS-009</t>
        </is>
      </c>
      <c r="B93" s="2" t="inlineStr">
        <is>
          <t>FDA found mold and standing water in our contract manufacturer's fill room. What legal exposure does that create for us as the brand on the label, and could the facility's registration be suspended?</t>
        </is>
      </c>
      <c r="C93" s="2" t="inlineStr">
        <is>
          <t>The generated answer could not be validated against the retrieved regulatory evidence, so it is not shown. The retrieved sources were not verified to answer the question as asked, so their text is not quoted as an answer. Sources consulted: FDA Guidance: Cooperative Manufacturing Arrangements for Licensed Biologics: Guidance for Industry (final, 2008-11-28, Docket FDA-1999-D-0128), FDA Guidance: Contract Manufacturing Arrangements for Drugs: Quality Agreements Guidance for Industry: Guidance for Industry (final, 2016-11-23, Docket FDA-2013-D-0558), 21 CFR 800.20(b)(3)(ii)(B), 21 CFR 800.20(b)(2)(iv).</t>
        </is>
      </c>
      <c r="D93" s="2" t="inlineStr">
        <is>
          <t>FAIL</t>
        </is>
      </c>
      <c r="E93" s="2" t="inlineStr">
        <is>
          <t>No answer delivered: draft withheld. The key's sources (FD&amp;C Act 601(c), 604, 607) are statute and not in the corpus; the key's answer (possible adulteration for insanitary conditions, brand is the responsible person, 607 suspension procedure) was not provided.</t>
        </is>
      </c>
      <c r="F93" s="2" t="inlineStr">
        <is>
          <t>Product held/packed under insanitary conditions may be adulterated under 601(c). Brand named on label is the responsible person. 607 suspension: FDA may suspend facility registration if a product has reasonable probability of causing serious adverse health consequences or death and other products may be affected; notice, 5-business-day response plan, informal hearing, corrective action plan. No legal opinion.</t>
        </is>
      </c>
      <c r="G93" s="3" t="n">
        <v>7.884</v>
      </c>
      <c r="H93" s="2" t="n">
        <v>1359</v>
      </c>
      <c r="I93" s="2" t="n">
        <v>63</v>
      </c>
      <c r="J93" s="2" t="inlineStr">
        <is>
          <t>Corpus gap: FD&amp;C Act 601(c)/604/607 not in corpus.</t>
        </is>
      </c>
      <c r="K93" s="2" t="inlineStr">
        <is>
          <t>Withheld by validator (no answer shown)</t>
        </is>
      </c>
      <c r="L93" s="2" t="inlineStr">
        <is>
          <t>UC-COS (Part blank)</t>
        </is>
      </c>
    </row>
    <row r="94">
      <c r="A94" s="2" t="inlineStr">
        <is>
          <t>UC-COS-011</t>
        </is>
      </c>
      <c r="B94" s="2" t="inlineStr">
        <is>
          <t>Our distributor's warehouse holds our shampoos. An inspector saw rodent droppings near pallets. Is the distributor covered by any FDA requirement even though it doesn't manufacture?</t>
        </is>
      </c>
      <c r="C94" s="2" t="inlineStr">
        <is>
          <t>The available regulatory sources do not provide enough information to answer this question. [1]</t>
        </is>
      </c>
      <c r="D94" s="2" t="inlineStr">
        <is>
          <t>FAIL</t>
        </is>
      </c>
      <c r="E94" s="2" t="inlineStr">
        <is>
          <t>Declined, citing an infant-formula guidance. The key's sources (FD&amp;C Act 601(c) 'held', 604 facility exclusions, 607) are statute and not in the corpus.</t>
        </is>
      </c>
      <c r="F94" s="2" t="inlineStr">
        <is>
          <t>601(c) covers cosmetics 'held' under insanitary conditions, so a holding/distribution site is covered by the adulteration provision. Facilities that only hold/distribute are excluded from the 604 'facility' definition, so no 607 registration. No codified pest-control program rule. Brand as responsible person still bears 605/608 duties.</t>
        </is>
      </c>
      <c r="G94" s="3" t="n">
        <v>3.918</v>
      </c>
      <c r="H94" s="2" t="n">
        <v>1333</v>
      </c>
      <c r="I94" s="2" t="n">
        <v>18</v>
      </c>
      <c r="J94" s="2" t="inlineStr">
        <is>
          <t>Corpus gap: FD&amp;C Act 601(c)/604 not in corpus.</t>
        </is>
      </c>
      <c r="K94" s="2" t="inlineStr">
        <is>
          <t>Generated answer</t>
        </is>
      </c>
      <c r="L94" s="2" t="inlineStr">
        <is>
          <t>UC-COS (Part blank)</t>
        </is>
      </c>
    </row>
    <row r="95">
      <c r="A95" s="2" t="inlineStr">
        <is>
          <t>UC-COS-013</t>
        </is>
      </c>
      <c r="B95" s="2" t="inlineStr">
        <is>
          <t>Our warehouse for lipsticks and creams isn't air-conditioned. Is there an FDA-required temperature or humidity range for storing cosmetics?</t>
        </is>
      </c>
      <c r="C95" s="2" t="inlineStr">
        <is>
          <t>The FDA requires that cosmetics be stored within a temperature and humidity range that protects their stability and safety. Specifically, the guidance from FDA Guidance: Draft Guidance for Industry: Lead in Cosmetic Lip Products and Externally Applied Cosmetics (Docket FDA-2014-D-2275) states that cosmetics should be stored in a temperature and humidity range that ensures their stability and safety. If applicable, storage instructions should include conditions such as temperature, light, and humidity. The requirement applies to devices or persons that store cosmetics and ensures that the products remain safe under their intended and customary conditions of use. [1]</t>
        </is>
      </c>
      <c r="D95" s="2" t="inlineStr">
        <is>
          <t>FAIL</t>
        </is>
      </c>
      <c r="E95" s="2" t="inlineStr">
        <is>
          <t>Wrong. States 'The FDA requires that cosmetics be stored within a temperature and humidity range', citing a draft lead-in-cosmetics guidance. The verified key says there is no FDA-codified temperature/humidity requirement for cosmetic storage; 601(c) and 608 are what apply. Fabricated = 1 (bank Instructions rule 3, invented requirement): Invented requirement on a 'regulation is silent' question: FDA-required storage temperature/humidity range.</t>
        </is>
      </c>
      <c r="F95" s="2" t="inlineStr">
        <is>
          <t>Correct answer: no FDA-codified temperature/humidity range or monitoring requirement for cosmetic storage. What applies: 601(c) (held under insanitary conditions whereby it may have been rendered injurious to health); 608 safety substantiation supports safety under labeled/customary conditions of use. Storage limits should come from the brand's own stability/safety data. No compliance guarantee.</t>
        </is>
      </c>
      <c r="G95" s="3" t="n">
        <v>12.825</v>
      </c>
      <c r="H95" s="2" t="n">
        <v>1322</v>
      </c>
      <c r="I95" s="2" t="n">
        <v>127</v>
      </c>
      <c r="J95" s="2" t="inlineStr">
        <is>
          <t>Invented requirement on a 'regulation is silent' question; draft guidance cited as an FDA requirement. Review handling of absence-of-requirement questions.</t>
        </is>
      </c>
      <c r="K95" s="2" t="inlineStr">
        <is>
          <t>Generated answer</t>
        </is>
      </c>
      <c r="L95" s="2" t="inlineStr">
        <is>
          <t>UC-COS (Part blank)</t>
        </is>
      </c>
    </row>
    <row r="96">
      <c r="A96" s="2" t="inlineStr">
        <is>
          <t>UC-COS-015</t>
        </is>
      </c>
      <c r="B96" s="2" t="inlineStr">
        <is>
          <t>A retailer wants proof our talc powder 'was stored per FDA regulations'. What records actually demonstrate compliance with federal storage requirements?</t>
        </is>
      </c>
      <c r="C96" s="2" t="inlineStr">
        <is>
          <t>The generated answer could not be validated against the retrieved regulatory evidence, so it is not shown. The retrieved sources were not verified to answer the question as asked, so their text is not quoted as an answer. Sources consulted: FDA Guidance: Determination of the Period Covered by a No-Tobacco-Sale Order and Compliance With an Order: Guidance for Tobacco Retailers (final, 2023-03-17, Docket FDA-2015-D-0404), FDA Guidance: Draft Guidance for Industry: Standards for the Growing, Harvesting, Packing, and Holding of Produce for Human Consumption (draft, 2018-10-22, Docket FDA-2018-D-3631), 21 CFR 600.11(d).</t>
        </is>
      </c>
      <c r="D96" s="2" t="inlineStr">
        <is>
          <t>FAIL</t>
        </is>
      </c>
      <c r="E96" s="2" t="inlineStr">
        <is>
          <t>No answer delivered: draft withheld. The key's answer (no codified cosmetic storage regulations, so no FDA-specified storage records; 608 safety substantiation records are what exist) was not provided; the statute is not in the corpus.</t>
        </is>
      </c>
      <c r="F96" s="2" t="inlineStr">
        <is>
          <t>Must state there are no codified cosmetic storage regulations, so no FDA-specified storage records exist. Relevant records: 608 safety substantiation records the responsible person must maintain (supporting reasonable certainty of safety); any stability data supporting labeled storage. Note FR 2025-21407 withdrew the talc asbestos testing proposed rule; no talc testing rule codified. No compliance guarantee.</t>
        </is>
      </c>
      <c r="G96" s="3" t="n">
        <v>12.664</v>
      </c>
      <c r="H96" s="2" t="n">
        <v>1375</v>
      </c>
      <c r="I96" s="2" t="n">
        <v>128</v>
      </c>
      <c r="J96" s="2" t="inlineStr">
        <is>
          <t>Withheld on an absence-of-requirement question; FD&amp;C 608 not in corpus.</t>
        </is>
      </c>
      <c r="K96" s="2" t="inlineStr">
        <is>
          <t>Withheld by validator (no answer shown)</t>
        </is>
      </c>
      <c r="L96" s="2" t="inlineStr">
        <is>
          <t>UC-COS (Part blank)</t>
        </is>
      </c>
    </row>
    <row r="97">
      <c r="A97" s="2" t="inlineStr">
        <is>
          <t>UC-COS-016</t>
        </is>
      </c>
      <c r="B97" s="2" t="inlineStr">
        <is>
          <t>A customer emailed that our face mask gave her a rash that went away in a day. Do we have to report it to FDA?</t>
        </is>
      </c>
      <c r="C97" s="2" t="inlineStr">
        <is>
          <t>The generated answer could not be validated against the retrieved regulatory evidence, so it is not shown. The retrieved sources were not verified to answer the question as asked, so their text is not quoted as an answer. Sources consulted: FDA Guidance: Enforcement Policy for Face Masks and Barrier Face Coverings During the Coronavirus Disease (COVID-19) Public Health Emergency : Guidance for Industry and Food and Drug Administration Staff (final, 2023-09-05, Docket FDA-2020-D-1138), 21 CFR 312.33, 21 CFR 347.50(c)(6)(ii), 21 CFR 350.50(c)(4)(i).</t>
        </is>
      </c>
      <c r="D97" s="2" t="inlineStr">
        <is>
          <t>FAIL</t>
        </is>
      </c>
      <c r="E97" s="2" t="inlineStr">
        <is>
          <t>No answer delivered: draft degenerate and withheld. The key's answer (only serious adverse events must be reported within 15 business days; a transient rash is not serious; keep records 6 years) depends on FD&amp;C Act 604/605, which are not in the corpus.</t>
        </is>
      </c>
      <c r="F97" s="2" t="inlineStr">
        <is>
          <t>Only serious adverse events must be reported (within 15 business days). A transient rash is an adverse event but not 'serious' unless it meets 604 criteria (e.g., death, hospitalization, infection, significant disfigurement incl. serious and persistent rashes, medical intervention to prevent these). Responsible person must still keep records related to each adverse event report for 6 years (3 years for qualifying small businesses).</t>
        </is>
      </c>
      <c r="G97" s="3" t="n">
        <v>17.614</v>
      </c>
      <c r="H97" s="2" t="n">
        <v>1437</v>
      </c>
      <c r="I97" s="2" t="n">
        <v>192</v>
      </c>
      <c r="J97" s="2" t="inlineStr">
        <is>
          <t>Corpus gap: FD&amp;C Act 604/605 not in corpus.</t>
        </is>
      </c>
      <c r="K97" s="2" t="inlineStr">
        <is>
          <t>Withheld by validator (no answer shown)</t>
        </is>
      </c>
      <c r="L97" s="2" t="inlineStr">
        <is>
          <t>UC-COS (Part blank)</t>
        </is>
      </c>
    </row>
    <row r="98">
      <c r="A98" s="2" t="inlineStr">
        <is>
          <t>UC-COS-017</t>
        </is>
      </c>
      <c r="B98" s="2" t="inlineStr">
        <is>
          <t>We're a distributor whose name is on the label; the product is made by a contract manufacturer. A user was hospitalized after using our hair-straightening cream. Who reports, by when, and what goes in the report?</t>
        </is>
      </c>
      <c r="C98" s="2" t="inlineStr">
        <is>
          <t>The generated answer could not be validated against the retrieved regulatory evidence, so it is not shown. The retrieved sources were not verified to answer the question as asked, so their text is not quoted as an answer. Sources consulted: FDA Guidance: Biological Product Deviation Reporting for Licensed Manufacturers of Biological Products Other than Blood and Blood Components (final, 2006-10-19, Docket FDA-2001-D-0008), FDA Guidance: CVM GFI #231 Distributor Labeling for New Animal Drugs (final, 2016-04-20, Docket FDA-2015-D-3056), 21 CFR 700.13(a), 21 CFR 720.4(c)(5)(iii).</t>
        </is>
      </c>
      <c r="D98" s="2" t="inlineStr">
        <is>
          <t>FAIL</t>
        </is>
      </c>
      <c r="E98" s="2" t="inlineStr">
        <is>
          <t>No answer delivered: draft degenerate and withheld. The key's answer (the labeled distributor is the responsible person and reports within 15 business days with the label) depends on FD&amp;C Act 604/605, which are not in the corpus.</t>
        </is>
      </c>
      <c r="F98" s="2" t="inlineStr">
        <is>
          <t>Responsible person = manufacturer, packer or distributor named on label, so the distributor reports. Submit serious AE report with a copy of the label no later than 15 business days after receipt; new and material medical information received within 1 year must be submitted within 15 business days. Hospitalization is a serious AE criterion. No legal opinion.</t>
        </is>
      </c>
      <c r="G98" s="3" t="n">
        <v>16.633</v>
      </c>
      <c r="H98" s="2" t="n">
        <v>1405</v>
      </c>
      <c r="I98" s="2" t="n">
        <v>160</v>
      </c>
      <c r="J98" s="2" t="inlineStr">
        <is>
          <t>Corpus gap: FD&amp;C Act 604/605 not in corpus.</t>
        </is>
      </c>
      <c r="K98" s="2" t="inlineStr">
        <is>
          <t>Withheld by validator (no answer shown)</t>
        </is>
      </c>
      <c r="L98" s="2" t="inlineStr">
        <is>
          <t>UC-COS (Part blank)</t>
        </is>
      </c>
    </row>
    <row r="99">
      <c r="A99" s="2" t="inlineStr">
        <is>
          <t>UC-COS-020</t>
        </is>
      </c>
      <c r="B99" s="2" t="inlineStr">
        <is>
          <t>Our contract manufacturer rejected a batch of eye shadow for microbial contamination. Can we rework it, and does any FDA rule govern the reprocessing?</t>
        </is>
      </c>
      <c r="C99" s="2" t="inlineStr">
        <is>
          <t>The FDA requires that contract manufacturers must ensure that all operations in receiving, inspecting, transporting, segregating, preparing, manufacturing, packaging, and storing of food comply with sanitation principles. If any food becomes contaminated, it shall be rejected, or if permissible, treated or processed to eliminate the contamination. If applicable, the FDA guidance requires that the contract manufacturer must have a procedure in place for receiving information from the contract facility on all deviations, complaints, and adverse events. If applicable, the FDA guidance also requires that the contract manufacturer must have access to floor plans, equipment validation, and other production information.</t>
        </is>
      </c>
      <c r="D99" s="2" t="inlineStr">
        <is>
          <t>FAIL</t>
        </is>
      </c>
      <c r="E99" s="2" t="inlineStr">
        <is>
          <t>Wrong. States food-plant sanitation requirements ('storing of food ... contaminated food shall be rejected') and contract-manufacturing guidance as FDA requirements for an eye-shadow rework. Key: no codified cosmetic rework rule; 601(b)-(c) adulteration, 608 substantiation, and eye-area products are excluded from the 612 small-business exemption. Fabricated = 1 (bank Instructions rule 3, invented requirement): Food-plant sanitation requirements stated as FDA requirements for reworking an eye shadow.</t>
        </is>
      </c>
      <c r="F99" s="2" t="inlineStr">
        <is>
          <t>No codified cosmetic reprocessing/rework rule. Distributed product must not be adulterated: 601(b) filthy/putrid/decomposed substance, 601(c) insanitary conditions/injurious to health. 608 requires adequate safety substantiation for the product as marketed. Products that regularly contact the mucous membrane of the eye under customary or usual use are excluded from the 612 small-business exemption from 606/607 (612(b)(1)). No compliance guarantee.</t>
        </is>
      </c>
      <c r="G99" s="3" t="n">
        <v>14.888</v>
      </c>
      <c r="H99" s="2" t="n">
        <v>1308</v>
      </c>
      <c r="I99" s="2" t="n">
        <v>161</v>
      </c>
      <c r="J99" s="2" t="inlineStr">
        <is>
          <t>Food CGMP rules imported as requirements on an absence-of-requirement question; statute not in corpus.</t>
        </is>
      </c>
      <c r="K99" s="2" t="inlineStr">
        <is>
          <t>Generated answer</t>
        </is>
      </c>
      <c r="L99" s="2" t="inlineStr">
        <is>
          <t>UC-COS (Part blank)</t>
        </is>
      </c>
    </row>
    <row r="100">
      <c r="A100" s="2" t="inlineStr">
        <is>
          <t>UC-COS-021</t>
        </is>
      </c>
      <c r="B100" s="2" t="inlineStr">
        <is>
          <t>FDA believes our lash adhesive likely caused serious injuries. If we refuse to stop distribution, what can FDA do, and what records can it see about the affected lots?</t>
        </is>
      </c>
      <c r="C100" s="2" t="inlineStr">
        <is>
          <t>The FDA believes that the lash adhesive may have caused serious injuries. If the distribution is not stopped, the FDA can access records related to the affected lots, including those of the lash adhesive, as per the FDA guidance. The records can include information about the adhesive's use, distribution, and any potential health impacts. The sources that support this are [1][2][4].</t>
        </is>
      </c>
      <c r="D100" s="2" t="inlineStr">
        <is>
          <t>FAIL</t>
        </is>
      </c>
      <c r="E100" s="2" t="inlineStr">
        <is>
          <t>Fails to answer. Restates the question and says only that FDA 'can access records related to the affected lots ... as per the FDA guidance', citing food recordkeeping guidance and a device MDR definition. It does not describe what FDA can do on refusal (611 mandatory cessation order, informal hearing within 10 days, recall order) or 607 suspension, and the records statement is not supported by any cosmetic provision. The statute is not in the corpus.</t>
        </is>
      </c>
      <c r="F100" s="2" t="inlineStr">
        <is>
          <t>611: if FDA finds a reasonable probability the product is adulterated or misbranded and will cause SAHCOD, it must first offer voluntary cessation and recall; on refusal it may order immediate cessation of distribution, hold an informal hearing within 10 days, then vacate, continue or amend the order to require recall. 610: access to related records (formulas, financial, pricing excluded; safety substantiation, shipment data included). 607 suspension. No legal opinion.</t>
        </is>
      </c>
      <c r="G100" s="3" t="n">
        <v>9.145</v>
      </c>
      <c r="H100" s="2" t="n">
        <v>1366</v>
      </c>
      <c r="I100" s="2" t="n">
        <v>77</v>
      </c>
      <c r="J100" s="2" t="inlineStr">
        <is>
          <t>Corpus gap: FD&amp;C Act 610/611 not in corpus; answer is unsupported and incomplete.</t>
        </is>
      </c>
      <c r="K100" s="2" t="inlineStr">
        <is>
          <t>Generated answer</t>
        </is>
      </c>
      <c r="L100" s="2" t="inlineStr">
        <is>
          <t>UC-COS (Part blank)</t>
        </is>
      </c>
    </row>
  </sheetData>
  <autoFilter ref="A1:L100"/>
  <conditionalFormatting sqref="D2:D100">
    <cfRule type="expression" priority="1" dxfId="0" stopIfTrue="1">
      <formula>$D2="PASS"</formula>
    </cfRule>
    <cfRule type="expression" priority="2" dxfId="1" stopIfTrue="1">
      <formula>$D2="PARTIALLY PASS"</formula>
    </cfRule>
    <cfRule type="expression" priority="3" dxfId="2" stopIfTrue="1">
      <formula>$D2="PARTIALLY FAIL"</formula>
    </cfRule>
    <cfRule type="expression" priority="4" dxfId="3" stopIfTrue="1">
      <formula>$D2="FAIL"</formula>
    </cfRule>
    <cfRule type="expression" priority="5" dxfId="4" stopIfTrue="1">
      <formula>$D2="NOT EVALUATED"</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zoomScale="100"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Item</t>
        </is>
      </c>
      <c r="B1" s="1" t="inlineStr">
        <is>
          <t>Value</t>
        </is>
      </c>
    </row>
    <row r="2">
      <c r="A2" s="22" t="inlineStr">
        <is>
          <t>Run ID</t>
        </is>
      </c>
      <c r="B2" s="2" t="inlineStr">
        <is>
          <t>cosmetics100_20261020T124217Z (results directory artifacts/cosmetics_benchmark/cosmetics100_20261020T124217Z/). UI measurement session ui_20261020T124416Z_8270714b.</t>
        </is>
      </c>
    </row>
    <row r="3">
      <c r="A3" s="22" t="inlineStr">
        <is>
          <t>Date and time (UTC)</t>
        </is>
      </c>
      <c r="B3" s="2" t="inlineStr">
        <is>
          <t>Server started 12:44:16; warm-up 12:44:28-12:45:38 (excluded); benchmark 12:45:38.782 → 13:14:34.437 on 2026-10-20 (1,735.655 s wall clock). Workbook built after scoring.</t>
        </is>
      </c>
    </row>
    <row r="4">
      <c r="A4" s="22" t="inlineStr">
        <is>
          <t>Source question bank</t>
        </is>
      </c>
      <c r="B4" s="2" t="inlineStr">
        <is>
          <t>Regulus_QBank_Cosmetics_REV01.xlsx (project root), Excel 2007+ workbook; sheet 'Questions' (277 main questions, all 'Key Verified = Y'). The 'Follow-Ups' sheet (1,385 rows) was not used, per the user's instruction: main questions only. Opened read-only; sha256 c7d4e02635898ffebdd49d670be33f3aada31c633c43e0d0627ad22c56f262fd before and after selection (unchanged).</t>
        </is>
      </c>
    </row>
    <row r="5">
      <c r="A5" s="22" t="inlineStr">
        <is>
          <t>Eligibility and exclusions</t>
        </is>
      </c>
      <c r="B5" s="2" t="inlineStr">
        <is>
          <t>277 rows; 277 unique IDs; 277 unique question texts (whitespace/case-normalised); 0 blank. No exclusions.</t>
        </is>
      </c>
    </row>
    <row r="6">
      <c r="A6" s="22" t="inlineStr">
        <is>
          <t>Selection method and seed</t>
        </is>
      </c>
      <c r="B6" s="2" t="inlineStr">
        <is>
          <t>stratified random sampling by Part (column B; blank Part = own stratum), proportional largest-remainder allocation (ties: larger stratum, then label), random.Random(f'{seed}:{stratum}').sample within stratum; run in bank order. Seed 20261020. Allocation (selected/bank): 70: 7/18; 700: 6/18; 701: 7/20; 71: 6/17; 710: 3/9; 720: 4/11; 73: 10/29; 74: 13/36; 740: 4/11; 80: 4/10; 81: 1/3; 82: 14/39; FDCA: 12/32; UC-COS (Part blank): 9/24. The first draw was kept; seeds were not re-drawn to improve balance.</t>
        </is>
      </c>
    </row>
    <row r="7">
      <c r="A7" s="22" t="inlineStr">
        <is>
          <t>Representativeness check</t>
        </is>
      </c>
      <c r="B7" s="2" t="inlineStr">
        <is>
          <t>Difficulty: Advanced 19 selected / 52 in bank; Intermediate 37 selected / 119 in bank; Basic 44 selected / 106 in bank. Question Type: Applicability 43 selected / 114 in bank; Specific Requirement 26 selected / 89 in bank; How to Comply 17 selected / 31 in bank; Records/Evidence 3 selected / 16 in bank; Exemption 11 selected / 26 in bank; Application Scenario 0 selected / 1 in bank. Basic and How-to-Comply are over-represented and Specific Requirement and Records/Evidence under-represented relative to the bank; strata were by Part only.</t>
        </is>
      </c>
    </row>
    <row r="8">
      <c r="A8" s="22" t="inlineStr">
        <is>
          <t>Selected question IDs (run order)</t>
        </is>
      </c>
      <c r="B8" s="2" t="inlineStr">
        <is>
          <t>COS-70.3-Q1, COS-70.3-Q3, COS-70.19-Q2, COS-70.50-Q1, COS-70.50-Q2, COS-70.51-Q1, COS-70.55-Q1, COS-71.1-Q2, COS-71.6-Q1, COS-71.15-Q2, COS-71.25-Q1, COS-71.26-Q1, COS-71.27-Q1, COS-73.2085-Q1, COS-73.2095-Q1, COS-73.2180-Q1, COS-73.2250-Q1, COS-73.2298-Q1, COS-73.2575-Q1, COS-73.2645-Q1, COS-73.2646-Q1, COS-73.2647-Q1, COS-73.2725-Q1, COS-74.2052-Q1, COS-74.2203-Q1, COS-74.2208-Q1, COS-74.2254-Q1, COS-74.2304-Q1, COS-74.2317-Q1, COS-74.2322-Q1, COS-74.2327-Q1, COS-74.2340-Q1, COS-74.2602a-Q1, COS-74.2708-Q1, COS-74.2710-Q1, COS-74.2711-Q1, COS-80.10-Q1, COS-80.31-Q1, COS-80.37-Q1, COS-80.38-Q1, COS-81.30-Q1, COS-82.6-Q1, COS-82.50-Q1, COS-82.101-Q1, COS-82.203-Q1, COS-82.304-Q1, COS-82.1104-Q1, COS-82.1205-Q1, COS-82.1206-Q1, COS-82.1254-Q1, COS-82.1307-Q1, COS-82.1317-Q1, COS-82.1321-Q1, COS-82.1327-Q1, COS-82.2050-Q1, COS-700.13-Q2, COS-700.14-Q1, COS-700.15-Q1, COS-700.18-Q1, COS-700.25-Q2, COS-700.35-Q1, COS-701.3-Q1, COS-701.3-Q4, COS-701.9-Q1, COS-701.12-Q2, COS-701.13-G1, COS-701.13-Q1, COS-701.13-Q3, COS-710.2-Q1, COS-710.4-Q1, COS-710.5-Q1, COS-720.3-Q1, COS-720.4-Q3, COS-720.7-Q1, COS-720.8-Q1, COS-740.11-Q1, COS-740.11-Q2, COS-740.12-Q1, COS-740.19-Q1, COS-FDCA201(i)-Q1, COS-FDCA601-Q3, COS-FDCA603-Q1, COS-FDCA605-Q1, COS-FDCA605-Q3, COS-FDCA606-Q2, COS-FDCA607-Q2, COS-FDCA607-Q3, COS-FDCA609-Q1, COS-FDCA609-Q2, COS-FDCA613-Q2, COS-FDCA614-Q2, UC-COS-006, UC-COS-009, UC-COS-011, UC-COS-013, UC-COS-015, UC-COS-016, UC-COS-017, UC-COS-020, UC-COS-021</t>
        </is>
      </c>
    </row>
    <row r="9">
      <c r="A9" s="22" t="inlineStr">
        <is>
          <t>Git commit and branch</t>
        </is>
      </c>
      <c r="B9" s="2" t="inlineStr">
        <is>
          <t>main @ 6f949381550fb96e49219a1b8679b3806b1126e5 ('Acceptance scoring: one validated implementation for workbook and dashboard').</t>
        </is>
      </c>
    </row>
    <row r="10">
      <c r="A10" s="22" t="inlineStr">
        <is>
          <t>Working-tree status</t>
        </is>
      </c>
      <c r="B10" s="2" t="inlineStr">
        <is>
          <t>Dirty: 27 tracked files modified (data/evaluation/semantic/semantic_expanded_v1/manifest.yaml, scripts/build_semantic_index.py, scripts/run_acceptance_test.py, scripts/serve_ui.py, src/regulus/accuracy/claims.py, src/regulus/config/settings.py, src/regulus/rag/{context,fallback,generation,pipeline,prompt,remote_generator,selection}.py, src/regulus/retrieval/{lexical,models,query,ranking,references,sql}.py, src/regulus/retrieval/semantic/{index,models}.py, src/regulus/traceability/ui_session.py, 4 test files, web/index.html) plus untracked modules (e.g. src/regulus/retrieval/advanced.py, src/regulus/grounding/premise.py, src/regulus/rag/mlx_generator.py). Tracked diff sha256 5833cb001b31b93cd1e59622feee478d4cb85121254dc811ab0dd8a1e5218440. The diff hash and the sha256 of all 228 modified/untracked files were identical at run start and finish, so the code did not change during the run. The benchmark itself modified no project code or configuration.</t>
        </is>
      </c>
    </row>
    <row r="11">
      <c r="A11" s="22" t="inlineStr">
        <is>
          <t>Base model</t>
        </is>
      </c>
      <c r="B11" s="2" t="inlineStr">
        <is>
          <t>Qwen/Qwen3-0.6B, revision c1899de289a04d12100db370d81485cdf75e47ca (local HF cache refs/main), transformers backend, CPU float32, no adapter. The UI's optional Qwen3-1.7B (MLX) was not configured and not used.</t>
        </is>
      </c>
    </row>
    <row r="12">
      <c r="A12" s="22" t="inlineStr">
        <is>
          <t>Embedding model</t>
        </is>
      </c>
      <c r="B12" s="2" t="inlineStr">
        <is>
          <t>BAAI/bge-small-en-v1.5, revision 5c38ec7c405ec4b44b94cc5a9bb96e735b38267a, 384-d, CLS pooling, normalized, max_length 512; loaded from the local cache (load 0.43 s). Role: live-evaluator aligner on every answer; semantic-fallback retrieval configured but invoked on 0/100. Semantic index semantic_expanded_v1: 28,882 items, embedded 2026-10-20T05:29:36Z, corpus sha256 b6f857eb2e8d651a1674d5c9a53f033cf26e0406bca512fe6089205aedea2eca; it does not include Subchapter G (Parts 700-740) or Parts 71, 80, 81.</t>
        </is>
      </c>
    </row>
    <row r="13">
      <c r="A13" s="22" t="inlineStr">
        <is>
          <t>Retrieval configuration</t>
        </is>
      </c>
      <c r="B13" s="2" t="inlineStr">
        <is>
          <t>configured_rag_config(settings) as served by scripts/serve_ui.py: LexicalRetriever wrapped in SemanticFallbackRetriever (semantic_top_n 8, similarity_floor 0.75, merge interleave, general_questions false); top_k 8; grounding gate off; validation_behavior repair; answer_length policy adaptive. pipeline_config_sha256 6cd19913cc7b83b4302d1bffdfb439fc2384ab7ca51a8af4adc84cbd2627796c; system_prompt_sha256 d39dc7bb9778d1a632a4863bd12718871f8653154853b0f180d1cf774afe8b79. Database opened read-only; eCFR snapshot 2026-09-03.</t>
        </is>
      </c>
    </row>
    <row r="14">
      <c r="A14" s="22" t="inlineStr">
        <is>
          <t>Evaluation configuration</t>
        </is>
      </c>
      <c r="B14" s="2" t="inlineStr">
        <is>
          <t>(1) Reporting category: question-bank rubric (Citation Exact, Fabricated, Substantive, Completeness, Scope) scored by Claude against the verified key and, where needed, the retrieved regulation text; AI-assisted, not SME-signed. The bank and the main benchmark state that scoring is to be done by an SME or independent reviewer, so these categories should be confirmed by one before contractual use. (2) Regulus live evaluator regulus_live_evidence_assessment_v2, rubric version 2.0.0, semantic aligner, identifier index = database - recorded per question; it compares the answer only with its retrieved evidence and does not use the reference answer. (3) Every CFR section named in a delivered answer's text (31 distinct) was checked against the database: all exist (scoring/cited_section_check.json).</t>
        </is>
      </c>
    </row>
    <row r="15">
      <c r="A15" s="22" t="inlineStr">
        <is>
          <t>Inference settings affecting reproducibility</t>
        </is>
      </c>
      <c r="B15" s="2" t="inlineStr">
        <is>
          <t>Greedy decoding (deterministic up to CPU floating-point order), thinking off, repetition stop on, adaptive allowance per question (hard ceiling 2,048 tokens), single process, one request at a time. Outcomes: 10 generations ended by the repetition stop and 11 reported finished=false (token allowance reached).</t>
        </is>
      </c>
    </row>
    <row r="16">
      <c r="A16" s="22" t="inlineStr">
        <is>
          <t>Execution commands</t>
        </is>
      </c>
      <c r="B16" s="2" t="inlineStr">
        <is>
          <t>Server: .venv/bin/python scripts/serve_ui.py --port 8765 --offline --measure-dir artifacts/cosmetics_benchmark/&lt;run&gt;/ui_measurements (defaults otherwise: transformers backend, accuracy on, semantic alignment, measurement on). Client: .venv/bin/python artifacts/cosmetics_benchmark/&lt;run&gt;/tools/run_benchmark.py &lt;run&gt; --url http://127.0.0.1:8765 --timeout 1800 --warmup "What does 21 CFR 11.10 require for closed systems?". Selection: tools/select_questions.py; scoring merge: tools/merge_verdicts.py; workbook: tools/build_workbook.py.</t>
        </is>
      </c>
    </row>
    <row r="17">
      <c r="A17" s="22" t="inlineStr">
        <is>
          <t>Why the HTTP path</t>
        </is>
      </c>
      <c r="B17" s="2" t="inlineStr">
        <is>
          <t>scripts/run_acceptance_test.py hard-codes the REV02 300-question workbook, so it could not take this bank without editing it. The benchmark instead POSTs each question verbatim to the application's own /api/ask endpoint ({"question": ...}, every control at its default), the stateless path the UI serves; no application file was changed.</t>
        </is>
      </c>
    </row>
    <row r="18">
      <c r="A18" s="22" t="inlineStr">
        <is>
          <t>Token accounting</t>
        </is>
      </c>
      <c r="B18" s="2" t="inlineStr">
        <is>
          <t>Input Tokens = prompt tokens of the one answer-generation call per question (length of the tokenized chat-templated prompt, as reported by the runtime). Output Tokens = tokens generated by that call, including text that validation later removed or replaced. When the validator withheld an answer (44 questions), the delivered text is a pipeline notice, not model output, but the generation's tokens are still counted. No other generative model call occurs; the bge-small embedder used by the evaluator is not counted. All 100 questions report both counts.</t>
        </is>
      </c>
    </row>
    <row r="19">
      <c r="A19" s="22" t="inlineStr">
        <is>
          <t>Timing methodology</t>
        </is>
      </c>
      <c r="B19" s="2" t="inlineStr">
        <is>
          <t>Duration = client-side time.perf_counter() (monotonic) round trip from sending the HTTP request to receiving the complete response, in seconds (3 dp). /api/ask returns after the live evaluation, so Duration includes it (mean 0.27 s) and HTTP/serialization overhead (mean 0.074 s over pipeline time). Component times are the server's own timings_ms/server_timings_ms. Questions ran strictly sequentially; one warm-up question was sent first and excluded from every statistic; no other benchmark or test process was running.</t>
        </is>
      </c>
    </row>
    <row r="20">
      <c r="A20" s="22" t="inlineStr">
        <is>
          <t>Errors, retries, skips</t>
        </is>
      </c>
      <c r="B20" s="2" t="inlineStr">
        <is>
          <t>0 execution errors, 0 timeouts (client timeout 1,800 s), 0 retries, 0 skipped. Each question was asked exactly once.</t>
        </is>
      </c>
    </row>
    <row r="21">
      <c r="A21" s="22" t="inlineStr">
        <is>
          <t>Deviations and limitations</t>
        </is>
      </c>
      <c r="B21" s="2" t="inlineStr">
        <is>
          <t>(a) AI-assisted rubric scoring, not SME-signed. (b) 'Generated Answer' is the delivered answer exactly as returned; for 44 questions that is the validator's withholding notice. (c) 22 selected questions cite the FD&amp;C Act in their key (20 rely on the statute, or on Parts 700-740 generally, with no specific CFR section; COS-710.2-Q1 and UC-COS-006 cite both), and the corpus has no statute text. (d) ISO concordance not scored (all selected rows '—'). (e) openpyxl came from the local uv cache and formulas were verified with pycel (no LibreOffice installed); the workbook is set to recalculate fully on open.</t>
        </is>
      </c>
    </row>
    <row r="22">
      <c r="A22" s="22" t="inlineStr">
        <is>
          <t>Missing or unverified information</t>
        </is>
      </c>
      <c r="B22" s="2" t="inlineStr">
        <is>
          <t>No missing duration or token telemetry. Unverified: SME confirmation of rubric categories; model weights file hashes (revision recorded, weights not hashed in this run); provenance of the unused database vectors.</t>
        </is>
      </c>
    </row>
    <row r="23">
      <c r="A23" s="22" t="inlineStr">
        <is>
          <t>Evaluation rubric and category mapping</t>
        </is>
      </c>
      <c r="B23" s="2" t="inlineStr">
        <is>
          <t>Each answer is scored on the question bank's rubric (the Scoring Rubric of the main Regulus acceptance benchmark, which the bank's Instructions sheet names) against the bank's VERIFIED key: Citation Exact (1/0), Fabricated Citation (1/0, 1 = failure), Substantive (0-2), Completeness (0-2), Scope Discipline (1/0). ISO concordance is not scored (every selected row's ISO clause is '—'). The five scores are mapped to the reporting category deterministically, in this order: (1) no answer returned (execution ERROR/TIMEOUT) -&gt; NOT EVALUATED; (2) Substantive 0 -&gt; FAIL; (3) Substantive 1 -&gt; PARTIALLY FAIL; (4) Substantive 2 with Fabricated 1, Scope 0 or Completeness 0 -&gt; PARTIALLY FAIL; (5) Substantive 2, Completeness 2, Citation Exact 1, Fabricated 0, Scope 1 -&gt; PASS; (6) otherwise (Substantive 2 with Completeness 1 and/or Citation Exact 0) -&gt; PARTIALLY PASS. An answer withheld by the validator, or any other decline, on a question the verified key answers scores Substantive 0 / Completeness 0 and is FAIL (no supported answer where one is required); it is an evaluated outcome, not NOT EVALUATED. The project's own live evaluator (regulus_live_evidence_assessment_v2) is recorded beside it but does not decide the category: it compares the answer with the evidence retrieved for it and uses no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2026-10-20T13:19:40Z</dcterms:created>
  <dcterms:modified xsi:type="dcterms:W3CDTF">2026-10-20T13:19:40Z</dcterms:modified>
</cp:coreProperties>
</file>